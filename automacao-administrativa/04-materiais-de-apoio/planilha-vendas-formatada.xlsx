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3\Documents\ricardo\2oDS-Excel\"/>
    </mc:Choice>
  </mc:AlternateContent>
  <bookViews>
    <workbookView xWindow="0" yWindow="0" windowWidth="19200" windowHeight="8235" activeTab="1"/>
  </bookViews>
  <sheets>
    <sheet name="Plan1" sheetId="1" r:id="rId1"/>
    <sheet name="Configuracao" sheetId="2" r:id="rId2"/>
  </sheets>
  <definedNames>
    <definedName name="cotacao_dolar">Configuracao!$B$1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J2" i="1"/>
  <c r="J3" i="1"/>
  <c r="J4" i="1"/>
  <c r="J103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</calcChain>
</file>

<file path=xl/sharedStrings.xml><?xml version="1.0" encoding="utf-8"?>
<sst xmlns="http://schemas.openxmlformats.org/spreadsheetml/2006/main" count="821" uniqueCount="163">
  <si>
    <t>order_id</t>
  </si>
  <si>
    <t>order_date</t>
  </si>
  <si>
    <t>customer</t>
  </si>
  <si>
    <t>city</t>
  </si>
  <si>
    <t>state</t>
  </si>
  <si>
    <t>product</t>
  </si>
  <si>
    <t>category</t>
  </si>
  <si>
    <t>quantity</t>
  </si>
  <si>
    <t>unit_price_us_format</t>
  </si>
  <si>
    <t>salesperson</t>
  </si>
  <si>
    <t>status</t>
  </si>
  <si>
    <t>ORD-1001</t>
  </si>
  <si>
    <t>Loja Central</t>
  </si>
  <si>
    <t>Sao Jose</t>
  </si>
  <si>
    <t>SC</t>
  </si>
  <si>
    <t>A4 Paper Box</t>
  </si>
  <si>
    <t>Office Supplies</t>
  </si>
  <si>
    <t>Carlos Souza</t>
  </si>
  <si>
    <t>Paid</t>
  </si>
  <si>
    <t>ORD-1002</t>
  </si>
  <si>
    <t>Restaurante Sabor</t>
  </si>
  <si>
    <t>Palhoca</t>
  </si>
  <si>
    <t>USB Mouse</t>
  </si>
  <si>
    <t>IT</t>
  </si>
  <si>
    <t>Ana Martins</t>
  </si>
  <si>
    <t>ORD-1003</t>
  </si>
  <si>
    <t>Hotel Mar Azul</t>
  </si>
  <si>
    <t>Coffee 1kg</t>
  </si>
  <si>
    <t>Pantry</t>
  </si>
  <si>
    <t>Pending</t>
  </si>
  <si>
    <t>ORD-1004</t>
  </si>
  <si>
    <t>Cleaning Kit</t>
  </si>
  <si>
    <t>Cleaning</t>
  </si>
  <si>
    <t>Juliana Lima</t>
  </si>
  <si>
    <t>ORD-1005</t>
  </si>
  <si>
    <t>Clinica Vida</t>
  </si>
  <si>
    <t>Florianopolis</t>
  </si>
  <si>
    <t>Office Chair</t>
  </si>
  <si>
    <t>Furniture</t>
  </si>
  <si>
    <t>ORD-1006</t>
  </si>
  <si>
    <t>ORD-1007</t>
  </si>
  <si>
    <t>Pousada Encanto</t>
  </si>
  <si>
    <t>Garopaba</t>
  </si>
  <si>
    <t>Cancelled</t>
  </si>
  <si>
    <t>ORD-1008</t>
  </si>
  <si>
    <t xml:space="preserve">  Mercado Sol </t>
  </si>
  <si>
    <t>ORD-1009</t>
  </si>
  <si>
    <t>ORD-1010</t>
  </si>
  <si>
    <t>ORD-1011</t>
  </si>
  <si>
    <t>LED Desk Lamp</t>
  </si>
  <si>
    <t>ORD-1012</t>
  </si>
  <si>
    <t>Liquid Soap 5L</t>
  </si>
  <si>
    <t>ORD-1013</t>
  </si>
  <si>
    <t>ORD-1014</t>
  </si>
  <si>
    <t>Escola Horizonte</t>
  </si>
  <si>
    <t>BiguaÃ§u</t>
  </si>
  <si>
    <t>Printer Toner</t>
  </si>
  <si>
    <t>Rafael Costa</t>
  </si>
  <si>
    <t>ORD-1015</t>
  </si>
  <si>
    <t>Tech Office</t>
  </si>
  <si>
    <t>FlorianÃ³polis</t>
  </si>
  <si>
    <t>Keyboard</t>
  </si>
  <si>
    <t>ORD-1016</t>
  </si>
  <si>
    <t>ORD-1017</t>
  </si>
  <si>
    <t>ORD-1018</t>
  </si>
  <si>
    <t>Farmacia Bem Estar</t>
  </si>
  <si>
    <t>Sugar 5kg</t>
  </si>
  <si>
    <t>ORD-1019</t>
  </si>
  <si>
    <t>Ballpoint Pen Pack</t>
  </si>
  <si>
    <t>ORD-1020</t>
  </si>
  <si>
    <t>ORD-1021</t>
  </si>
  <si>
    <t>Mercado Sol</t>
  </si>
  <si>
    <t>ORD-1022</t>
  </si>
  <si>
    <t>SAO JOSE</t>
  </si>
  <si>
    <t>ORD-1023</t>
  </si>
  <si>
    <t>ORD-1024</t>
  </si>
  <si>
    <t>ORD-1025</t>
  </si>
  <si>
    <t>ORD-1026</t>
  </si>
  <si>
    <t>ORD-1027</t>
  </si>
  <si>
    <t>ORD-1028</t>
  </si>
  <si>
    <t>ORD-1029</t>
  </si>
  <si>
    <t>paid</t>
  </si>
  <si>
    <t>ORD-1030</t>
  </si>
  <si>
    <t>ORD-1031</t>
  </si>
  <si>
    <t>ORD-1032</t>
  </si>
  <si>
    <t>Academia Movimento</t>
  </si>
  <si>
    <t>ORD-1033</t>
  </si>
  <si>
    <t>Notebook A5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</si>
  <si>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</si>
  <si>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</si>
  <si>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</si>
  <si>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</si>
  <si>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</si>
  <si>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</si>
  <si>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</si>
  <si>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</si>
  <si>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</si>
  <si>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</si>
  <si>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</si>
  <si>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</si>
  <si>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</si>
  <si>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</si>
  <si>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</si>
  <si>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</si>
  <si>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</si>
  <si>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</si>
  <si>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</si>
  <si>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</si>
  <si>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</si>
  <si>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</si>
  <si>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</si>
  <si>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Clinica  Vida</t>
  </si>
  <si>
    <t>ORD-1057</t>
  </si>
  <si>
    <t>ORD-1058</t>
  </si>
  <si>
    <t>ORD-1059</t>
  </si>
  <si>
    <t>ORD-1060</t>
  </si>
  <si>
    <t>ORD-1061</t>
  </si>
  <si>
    <t>ORD-1062</t>
  </si>
  <si>
    <t>ORD-1063</t>
  </si>
  <si>
    <t xml:space="preserve">Palhoca </t>
  </si>
  <si>
    <t>ORD-1064</t>
  </si>
  <si>
    <t>ORD-1065</t>
  </si>
  <si>
    <t>ORD-1066</t>
  </si>
  <si>
    <t>ORD-1067</t>
  </si>
  <si>
    <t>ORD-1068</t>
  </si>
  <si>
    <t>ORD-1069</t>
  </si>
  <si>
    <t>ORD-1070</t>
  </si>
  <si>
    <t xml:space="preserve">Pending 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</si>
  <si>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</si>
  <si>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</si>
  <si>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</si>
  <si>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</si>
  <si>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</si>
  <si>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</si>
  <si>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</si>
  <si>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</si>
  <si>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</si>
  <si>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</si>
  <si>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</si>
  <si>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</si>
  <si>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</si>
  <si>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</si>
  <si>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</si>
  <si>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 xml:space="preserve">Hotel Mar Azul 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</si>
  <si>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</si>
  <si>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</si>
  <si>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</si>
  <si>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</si>
  <si>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</si>
  <si>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</si>
  <si>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</si>
  <si>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</si>
  <si>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</si>
  <si>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</si>
  <si>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</si>
  <si>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</si>
  <si>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</si>
  <si>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</si>
  <si>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</si>
  <si>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total em dólar</t>
  </si>
  <si>
    <t>Total</t>
  </si>
  <si>
    <t>total em real</t>
  </si>
  <si>
    <t>Cotação 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</si>
</sst>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endas" displayName="vendas" ref="A1:M103" totalsRowCount="1">
  <autoFilter ref="A1:M102"/>
  <tableColumns count="13">
    <tableColumn id="1" name="order_id" totalsRowLabel="Total"/>
    <tableColumn id="2" name="order_date" dataDxfId="5"/>
    <tableColumn id="3" name="customer"/>
    <tableColumn id="4" name="city"/>
    <tableColumn id="5" name="state"/>
    <tableColumn id="6" name="product"/>
    <tableColumn id="7" name="category"/>
    <tableColumn id="8" name="quantity"/>
    <tableColumn id="9" name="unit_price_us_format" dataDxfId="4"/>
    <tableColumn id="13" name="total em dólar" totalsRowFunction="sum" dataDxfId="3" totalsRowDxfId="2">
      <calculatedColumnFormula>vendas[[#This Row],[quantity]]*vendas[[#This Row],[unit_price_us_format]]</calculatedColumnFormula>
    </tableColumn>
    <tableColumn id="14" name="total em real" dataDxfId="0" totalsRowDxfId="1">
      <calculatedColumnFormula>vendas[[#This Row],[total em dólar]]*cotacao_dolar</calculatedColumnFormula>
    </tableColumn>
    <tableColumn id="10" name="salesperson"/>
    <tableColumn id="11" name="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opLeftCell="I1" zoomScale="145" zoomScaleNormal="145" workbookViewId="0">
      <selection activeCell="K2" sqref="K2"/>
    </sheetView>
  </sheetViews>
  <sheetFormatPr defaultRowHeight="15" x14ac:dyDescent="0.25"/>
  <cols>
    <col min="1" max="1" width="10.7109375" customWidth="1"/>
    <col min="2" max="2" width="13" customWidth="1"/>
    <col min="3" max="3" width="20.7109375" bestFit="1" customWidth="1"/>
    <col min="4" max="4" width="13.5703125" bestFit="1" customWidth="1"/>
    <col min="5" max="5" width="7.5703125" customWidth="1"/>
    <col min="6" max="6" width="17.5703125" bestFit="1" customWidth="1"/>
    <col min="7" max="7" width="14.5703125" bestFit="1" customWidth="1"/>
    <col min="8" max="8" width="10.5703125" customWidth="1"/>
    <col min="9" max="10" width="22.140625" style="2" customWidth="1"/>
    <col min="11" max="11" width="15.5703125" style="2" customWidth="1"/>
    <col min="12" max="12" width="13.7109375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159</v>
      </c>
      <c r="K1" s="2" t="s">
        <v>161</v>
      </c>
      <c r="L1" t="s">
        <v>9</v>
      </c>
      <c r="M1" t="s">
        <v>10</v>
      </c>
    </row>
    <row r="2" spans="1:13" x14ac:dyDescent="0.25">
      <c r="A2" t="s">
        <v>11</v>
      </c>
      <c r="B2" s="1">
        <v>46244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</v>
      </c>
      <c r="I2" s="3">
        <v>32.9</v>
      </c>
      <c r="J2" s="3">
        <f>vendas[[#This Row],[quantity]]*vendas[[#This Row],[unit_price_us_format]]</f>
        <v>394.79999999999995</v>
      </c>
      <c r="K2" s="3">
        <f>vendas[[#This Row],[total em dólar]]*cotacao_dolar</f>
        <v>2060.8559999999998</v>
      </c>
      <c r="L2" t="s">
        <v>17</v>
      </c>
      <c r="M2" t="s">
        <v>18</v>
      </c>
    </row>
    <row r="3" spans="1:13" x14ac:dyDescent="0.25">
      <c r="A3" t="s">
        <v>19</v>
      </c>
      <c r="B3" s="1">
        <v>46210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>
        <v>10</v>
      </c>
      <c r="I3" s="3">
        <v>59.9</v>
      </c>
      <c r="J3" s="3">
        <f>vendas[[#This Row],[quantity]]*vendas[[#This Row],[unit_price_us_format]]</f>
        <v>599</v>
      </c>
      <c r="K3" s="3">
        <f>vendas[[#This Row],[total em dólar]]*cotacao_dolar</f>
        <v>3126.7799999999997</v>
      </c>
      <c r="L3" t="s">
        <v>24</v>
      </c>
      <c r="M3" t="s">
        <v>18</v>
      </c>
    </row>
    <row r="4" spans="1:13" x14ac:dyDescent="0.25">
      <c r="A4" t="s">
        <v>25</v>
      </c>
      <c r="B4" s="1">
        <v>46217</v>
      </c>
      <c r="C4" t="s">
        <v>26</v>
      </c>
      <c r="D4" t="s">
        <v>21</v>
      </c>
      <c r="E4" t="s">
        <v>14</v>
      </c>
      <c r="F4" t="s">
        <v>27</v>
      </c>
      <c r="G4" t="s">
        <v>28</v>
      </c>
      <c r="H4">
        <v>10</v>
      </c>
      <c r="I4" s="3">
        <v>36.479999999999997</v>
      </c>
      <c r="J4" s="3">
        <f>vendas[[#This Row],[quantity]]*vendas[[#This Row],[unit_price_us_format]]</f>
        <v>364.79999999999995</v>
      </c>
      <c r="K4" s="3">
        <f>vendas[[#This Row],[total em dólar]]*cotacao_dolar</f>
        <v>1904.2559999999996</v>
      </c>
      <c r="L4" t="s">
        <v>17</v>
      </c>
      <c r="M4" t="s">
        <v>29</v>
      </c>
    </row>
    <row r="5" spans="1:13" x14ac:dyDescent="0.25">
      <c r="A5" t="s">
        <v>30</v>
      </c>
      <c r="B5" s="1">
        <v>46248</v>
      </c>
      <c r="C5" t="s">
        <v>20</v>
      </c>
      <c r="D5" t="s">
        <v>21</v>
      </c>
      <c r="E5" t="s">
        <v>14</v>
      </c>
      <c r="F5" t="s">
        <v>31</v>
      </c>
      <c r="G5" t="s">
        <v>32</v>
      </c>
      <c r="H5">
        <v>4</v>
      </c>
      <c r="I5" s="3">
        <v>42.6</v>
      </c>
      <c r="J5" s="3">
        <f>vendas[[#This Row],[quantity]]*vendas[[#This Row],[unit_price_us_format]]</f>
        <v>170.4</v>
      </c>
      <c r="K5" s="3">
        <f>vendas[[#This Row],[total em dólar]]*cotacao_dolar</f>
        <v>889.48799999999994</v>
      </c>
      <c r="L5" t="s">
        <v>33</v>
      </c>
      <c r="M5" t="s">
        <v>29</v>
      </c>
    </row>
    <row r="6" spans="1:13" x14ac:dyDescent="0.25">
      <c r="A6" t="s">
        <v>34</v>
      </c>
      <c r="B6" s="1">
        <v>46204</v>
      </c>
      <c r="C6" t="s">
        <v>35</v>
      </c>
      <c r="D6" t="s">
        <v>36</v>
      </c>
      <c r="E6" t="s">
        <v>14</v>
      </c>
      <c r="F6" t="s">
        <v>37</v>
      </c>
      <c r="G6" t="s">
        <v>38</v>
      </c>
      <c r="H6">
        <v>7</v>
      </c>
      <c r="I6" s="3">
        <v>549</v>
      </c>
      <c r="J6" s="3">
        <f>vendas[[#This Row],[quantity]]*vendas[[#This Row],[unit_price_us_format]]</f>
        <v>3843</v>
      </c>
      <c r="K6" s="3">
        <f>vendas[[#This Row],[total em dólar]]*cotacao_dolar</f>
        <v>20060.46</v>
      </c>
      <c r="L6" t="s">
        <v>33</v>
      </c>
      <c r="M6" t="s">
        <v>18</v>
      </c>
    </row>
    <row r="7" spans="1:13" x14ac:dyDescent="0.25">
      <c r="A7" t="s">
        <v>39</v>
      </c>
      <c r="B7" s="1">
        <v>46225</v>
      </c>
      <c r="C7" t="s">
        <v>12</v>
      </c>
      <c r="D7" t="s">
        <v>13</v>
      </c>
      <c r="E7" t="s">
        <v>14</v>
      </c>
      <c r="F7" t="s">
        <v>22</v>
      </c>
      <c r="G7" t="s">
        <v>23</v>
      </c>
      <c r="H7">
        <v>7</v>
      </c>
      <c r="I7" s="3">
        <v>56.9</v>
      </c>
      <c r="J7" s="3">
        <f>vendas[[#This Row],[quantity]]*vendas[[#This Row],[unit_price_us_format]]</f>
        <v>398.3</v>
      </c>
      <c r="K7" s="3">
        <f>vendas[[#This Row],[total em dólar]]*cotacao_dolar</f>
        <v>2079.1259999999997</v>
      </c>
      <c r="L7" t="s">
        <v>33</v>
      </c>
      <c r="M7" t="s">
        <v>29</v>
      </c>
    </row>
    <row r="8" spans="1:13" x14ac:dyDescent="0.25">
      <c r="A8" t="s">
        <v>40</v>
      </c>
      <c r="B8" s="1">
        <v>46242</v>
      </c>
      <c r="C8" t="s">
        <v>41</v>
      </c>
      <c r="D8" t="s">
        <v>42</v>
      </c>
      <c r="E8" t="s">
        <v>14</v>
      </c>
      <c r="F8" t="s">
        <v>15</v>
      </c>
      <c r="G8" t="s">
        <v>16</v>
      </c>
      <c r="H8">
        <v>12</v>
      </c>
      <c r="I8" s="3">
        <v>32.9</v>
      </c>
      <c r="J8" s="3">
        <f>vendas[[#This Row],[quantity]]*vendas[[#This Row],[unit_price_us_format]]</f>
        <v>394.79999999999995</v>
      </c>
      <c r="K8" s="3">
        <f>vendas[[#This Row],[total em dólar]]*cotacao_dolar</f>
        <v>2060.8559999999998</v>
      </c>
      <c r="L8" t="s">
        <v>24</v>
      </c>
      <c r="M8" t="s">
        <v>43</v>
      </c>
    </row>
    <row r="9" spans="1:13" x14ac:dyDescent="0.25">
      <c r="A9" t="s">
        <v>44</v>
      </c>
      <c r="B9" s="1">
        <v>46228</v>
      </c>
      <c r="C9" t="s">
        <v>45</v>
      </c>
      <c r="D9" t="s">
        <v>13</v>
      </c>
      <c r="E9" t="s">
        <v>14</v>
      </c>
      <c r="F9" t="s">
        <v>27</v>
      </c>
      <c r="G9" t="s">
        <v>28</v>
      </c>
      <c r="H9">
        <v>5</v>
      </c>
      <c r="I9" s="3">
        <v>40.32</v>
      </c>
      <c r="J9" s="3">
        <f>vendas[[#This Row],[quantity]]*vendas[[#This Row],[unit_price_us_format]]</f>
        <v>201.6</v>
      </c>
      <c r="K9" s="3">
        <f>vendas[[#This Row],[total em dólar]]*cotacao_dolar</f>
        <v>1052.3519999999999</v>
      </c>
      <c r="L9" t="s">
        <v>33</v>
      </c>
      <c r="M9" t="s">
        <v>18</v>
      </c>
    </row>
    <row r="10" spans="1:13" x14ac:dyDescent="0.25">
      <c r="A10" t="s">
        <v>46</v>
      </c>
      <c r="B10" s="1">
        <v>46249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>
        <v>11</v>
      </c>
      <c r="I10" s="3">
        <v>32.9</v>
      </c>
      <c r="J10" s="3">
        <f>vendas[[#This Row],[quantity]]*vendas[[#This Row],[unit_price_us_format]]</f>
        <v>361.9</v>
      </c>
      <c r="K10" s="3">
        <f>vendas[[#This Row],[total em dólar]]*cotacao_dolar</f>
        <v>1889.1179999999997</v>
      </c>
      <c r="L10" t="s">
        <v>33</v>
      </c>
      <c r="M10" t="s">
        <v>43</v>
      </c>
    </row>
    <row r="11" spans="1:13" x14ac:dyDescent="0.25">
      <c r="A11" t="s">
        <v>47</v>
      </c>
      <c r="B11" s="1">
        <v>46218</v>
      </c>
      <c r="C11" t="s">
        <v>12</v>
      </c>
      <c r="D11" t="s">
        <v>13</v>
      </c>
      <c r="E11" t="s">
        <v>14</v>
      </c>
      <c r="F11" t="s">
        <v>31</v>
      </c>
      <c r="G11" t="s">
        <v>32</v>
      </c>
      <c r="H11">
        <v>5</v>
      </c>
      <c r="I11" s="3">
        <v>42.6</v>
      </c>
      <c r="J11" s="3">
        <f>vendas[[#This Row],[quantity]]*vendas[[#This Row],[unit_price_us_format]]</f>
        <v>213</v>
      </c>
      <c r="K11" s="3">
        <f>vendas[[#This Row],[total em dólar]]*cotacao_dolar</f>
        <v>1111.8599999999999</v>
      </c>
      <c r="L11" t="s">
        <v>33</v>
      </c>
      <c r="M11" t="s">
        <v>18</v>
      </c>
    </row>
    <row r="12" spans="1:13" x14ac:dyDescent="0.25">
      <c r="A12" t="s">
        <v>48</v>
      </c>
      <c r="B12" s="1">
        <v>46226</v>
      </c>
      <c r="C12" t="s">
        <v>26</v>
      </c>
      <c r="D12" t="s">
        <v>21</v>
      </c>
      <c r="E12" t="s">
        <v>14</v>
      </c>
      <c r="F12" t="s">
        <v>49</v>
      </c>
      <c r="G12" t="s">
        <v>38</v>
      </c>
      <c r="H12">
        <v>5</v>
      </c>
      <c r="I12" s="3">
        <v>71.16</v>
      </c>
      <c r="J12" s="3">
        <f>vendas[[#This Row],[quantity]]*vendas[[#This Row],[unit_price_us_format]]</f>
        <v>355.79999999999995</v>
      </c>
      <c r="K12" s="3">
        <f>vendas[[#This Row],[total em dólar]]*cotacao_dolar</f>
        <v>1857.2759999999996</v>
      </c>
      <c r="L12" t="s">
        <v>17</v>
      </c>
      <c r="M12" t="s">
        <v>18</v>
      </c>
    </row>
    <row r="13" spans="1:13" x14ac:dyDescent="0.25">
      <c r="A13" t="s">
        <v>50</v>
      </c>
      <c r="B13" s="1">
        <v>46219</v>
      </c>
      <c r="C13" t="s">
        <v>35</v>
      </c>
      <c r="D13" t="s">
        <v>36</v>
      </c>
      <c r="E13" t="s">
        <v>14</v>
      </c>
      <c r="F13" t="s">
        <v>51</v>
      </c>
      <c r="G13" t="s">
        <v>32</v>
      </c>
      <c r="H13">
        <v>7</v>
      </c>
      <c r="I13" s="3">
        <v>27.9</v>
      </c>
      <c r="J13" s="3">
        <f>vendas[[#This Row],[quantity]]*vendas[[#This Row],[unit_price_us_format]]</f>
        <v>195.29999999999998</v>
      </c>
      <c r="K13" s="3">
        <f>vendas[[#This Row],[total em dólar]]*cotacao_dolar</f>
        <v>1019.4659999999999</v>
      </c>
      <c r="L13" t="s">
        <v>17</v>
      </c>
      <c r="M13" t="s">
        <v>18</v>
      </c>
    </row>
    <row r="14" spans="1:13" x14ac:dyDescent="0.25">
      <c r="A14" t="s">
        <v>52</v>
      </c>
      <c r="B14" s="1">
        <v>46207</v>
      </c>
      <c r="C14" t="s">
        <v>26</v>
      </c>
      <c r="D14" t="s">
        <v>21</v>
      </c>
      <c r="E14" t="s">
        <v>14</v>
      </c>
      <c r="F14" t="s">
        <v>15</v>
      </c>
      <c r="G14" t="s">
        <v>16</v>
      </c>
      <c r="H14">
        <v>6</v>
      </c>
      <c r="I14" s="3">
        <v>32.9</v>
      </c>
      <c r="J14" s="3">
        <f>vendas[[#This Row],[quantity]]*vendas[[#This Row],[unit_price_us_format]]</f>
        <v>197.39999999999998</v>
      </c>
      <c r="K14" s="3">
        <f>vendas[[#This Row],[total em dólar]]*cotacao_dolar</f>
        <v>1030.4279999999999</v>
      </c>
      <c r="L14" t="s">
        <v>33</v>
      </c>
      <c r="M14" t="s">
        <v>18</v>
      </c>
    </row>
    <row r="15" spans="1:13" x14ac:dyDescent="0.25">
      <c r="A15" t="s">
        <v>53</v>
      </c>
      <c r="B15" s="1">
        <v>46240</v>
      </c>
      <c r="C15" t="s">
        <v>54</v>
      </c>
      <c r="D15" t="s">
        <v>55</v>
      </c>
      <c r="E15" t="s">
        <v>14</v>
      </c>
      <c r="F15" t="s">
        <v>56</v>
      </c>
      <c r="G15" t="s">
        <v>23</v>
      </c>
      <c r="H15">
        <v>11</v>
      </c>
      <c r="I15" s="3">
        <v>189</v>
      </c>
      <c r="J15" s="3">
        <f>vendas[[#This Row],[quantity]]*vendas[[#This Row],[unit_price_us_format]]</f>
        <v>2079</v>
      </c>
      <c r="K15" s="3">
        <f>vendas[[#This Row],[total em dólar]]*cotacao_dolar</f>
        <v>10852.38</v>
      </c>
      <c r="L15" t="s">
        <v>57</v>
      </c>
      <c r="M15" t="s">
        <v>29</v>
      </c>
    </row>
    <row r="16" spans="1:13" x14ac:dyDescent="0.25">
      <c r="A16" t="s">
        <v>58</v>
      </c>
      <c r="B16" s="1">
        <v>46245</v>
      </c>
      <c r="C16" t="s">
        <v>59</v>
      </c>
      <c r="D16" t="s">
        <v>60</v>
      </c>
      <c r="E16" t="s">
        <v>14</v>
      </c>
      <c r="F16" t="s">
        <v>61</v>
      </c>
      <c r="G16" t="s">
        <v>23</v>
      </c>
      <c r="H16">
        <v>5</v>
      </c>
      <c r="I16" s="3">
        <v>89.5</v>
      </c>
      <c r="J16" s="3">
        <f>vendas[[#This Row],[quantity]]*vendas[[#This Row],[unit_price_us_format]]</f>
        <v>447.5</v>
      </c>
      <c r="K16" s="3">
        <f>vendas[[#This Row],[total em dólar]]*cotacao_dolar</f>
        <v>2335.9499999999998</v>
      </c>
      <c r="L16" t="s">
        <v>17</v>
      </c>
      <c r="M16" t="s">
        <v>29</v>
      </c>
    </row>
    <row r="17" spans="1:13" x14ac:dyDescent="0.25">
      <c r="A17" t="s">
        <v>62</v>
      </c>
      <c r="B17" s="1">
        <v>46238</v>
      </c>
      <c r="C17" t="s">
        <v>41</v>
      </c>
      <c r="D17" t="s">
        <v>42</v>
      </c>
      <c r="E17" t="s">
        <v>14</v>
      </c>
      <c r="F17" t="s">
        <v>37</v>
      </c>
      <c r="G17" t="s">
        <v>38</v>
      </c>
      <c r="H17">
        <v>10</v>
      </c>
      <c r="I17" s="3">
        <v>549</v>
      </c>
      <c r="J17" s="3">
        <f>vendas[[#This Row],[quantity]]*vendas[[#This Row],[unit_price_us_format]]</f>
        <v>5490</v>
      </c>
      <c r="K17" s="3">
        <f>vendas[[#This Row],[total em dólar]]*cotacao_dolar</f>
        <v>28657.8</v>
      </c>
      <c r="L17" t="s">
        <v>57</v>
      </c>
      <c r="M17" t="s">
        <v>18</v>
      </c>
    </row>
    <row r="18" spans="1:13" x14ac:dyDescent="0.25">
      <c r="A18" t="s">
        <v>63</v>
      </c>
      <c r="B18" s="1">
        <v>46212</v>
      </c>
      <c r="C18" t="s">
        <v>20</v>
      </c>
      <c r="D18" t="s">
        <v>21</v>
      </c>
      <c r="E18" t="s">
        <v>14</v>
      </c>
      <c r="F18" t="s">
        <v>51</v>
      </c>
      <c r="G18" t="s">
        <v>32</v>
      </c>
      <c r="H18">
        <v>2</v>
      </c>
      <c r="I18" s="3">
        <v>26.5</v>
      </c>
      <c r="J18" s="3">
        <f>vendas[[#This Row],[quantity]]*vendas[[#This Row],[unit_price_us_format]]</f>
        <v>53</v>
      </c>
      <c r="K18" s="3">
        <f>vendas[[#This Row],[total em dólar]]*cotacao_dolar</f>
        <v>276.65999999999997</v>
      </c>
      <c r="L18" t="s">
        <v>24</v>
      </c>
      <c r="M18" t="s">
        <v>18</v>
      </c>
    </row>
    <row r="19" spans="1:13" x14ac:dyDescent="0.25">
      <c r="A19" t="s">
        <v>64</v>
      </c>
      <c r="B19" s="1">
        <v>46214</v>
      </c>
      <c r="C19" t="s">
        <v>65</v>
      </c>
      <c r="D19" t="s">
        <v>36</v>
      </c>
      <c r="E19" t="s">
        <v>14</v>
      </c>
      <c r="F19" t="s">
        <v>66</v>
      </c>
      <c r="G19" t="s">
        <v>28</v>
      </c>
      <c r="H19">
        <v>2</v>
      </c>
      <c r="I19" s="3">
        <v>21.8</v>
      </c>
      <c r="J19" s="3">
        <f>vendas[[#This Row],[quantity]]*vendas[[#This Row],[unit_price_us_format]]</f>
        <v>43.6</v>
      </c>
      <c r="K19" s="3">
        <f>vendas[[#This Row],[total em dólar]]*cotacao_dolar</f>
        <v>227.59199999999998</v>
      </c>
      <c r="L19" t="s">
        <v>57</v>
      </c>
      <c r="M19" t="s">
        <v>18</v>
      </c>
    </row>
    <row r="20" spans="1:13" x14ac:dyDescent="0.25">
      <c r="A20" t="s">
        <v>67</v>
      </c>
      <c r="B20" s="1">
        <v>46233</v>
      </c>
      <c r="C20" t="s">
        <v>20</v>
      </c>
      <c r="D20" t="s">
        <v>21</v>
      </c>
      <c r="E20" t="s">
        <v>14</v>
      </c>
      <c r="F20" t="s">
        <v>68</v>
      </c>
      <c r="G20" t="s">
        <v>16</v>
      </c>
      <c r="H20">
        <v>9</v>
      </c>
      <c r="I20" s="3">
        <v>17.809999999999999</v>
      </c>
      <c r="J20" s="3">
        <f>vendas[[#This Row],[quantity]]*vendas[[#This Row],[unit_price_us_format]]</f>
        <v>160.29</v>
      </c>
      <c r="K20" s="3">
        <f>vendas[[#This Row],[total em dólar]]*cotacao_dolar</f>
        <v>836.71379999999988</v>
      </c>
      <c r="L20" t="s">
        <v>24</v>
      </c>
      <c r="M20" t="s">
        <v>18</v>
      </c>
    </row>
    <row r="21" spans="1:13" x14ac:dyDescent="0.25">
      <c r="A21" t="s">
        <v>69</v>
      </c>
      <c r="B21" s="1">
        <v>46238</v>
      </c>
      <c r="C21" t="s">
        <v>41</v>
      </c>
      <c r="D21" t="s">
        <v>42</v>
      </c>
      <c r="E21" t="s">
        <v>14</v>
      </c>
      <c r="F21" t="s">
        <v>49</v>
      </c>
      <c r="G21" t="s">
        <v>38</v>
      </c>
      <c r="H21">
        <v>6</v>
      </c>
      <c r="I21" s="3">
        <v>71.16</v>
      </c>
      <c r="J21" s="3">
        <f>vendas[[#This Row],[quantity]]*vendas[[#This Row],[unit_price_us_format]]</f>
        <v>426.96</v>
      </c>
      <c r="K21" s="3">
        <f>vendas[[#This Row],[total em dólar]]*cotacao_dolar</f>
        <v>2228.7311999999997</v>
      </c>
      <c r="L21" t="s">
        <v>33</v>
      </c>
      <c r="M21" t="s">
        <v>18</v>
      </c>
    </row>
    <row r="22" spans="1:13" x14ac:dyDescent="0.25">
      <c r="A22" t="s">
        <v>70</v>
      </c>
      <c r="B22" s="1">
        <v>46233</v>
      </c>
      <c r="C22" t="s">
        <v>71</v>
      </c>
      <c r="D22" t="s">
        <v>36</v>
      </c>
      <c r="E22" t="s">
        <v>14</v>
      </c>
      <c r="F22" t="s">
        <v>37</v>
      </c>
      <c r="G22" t="s">
        <v>38</v>
      </c>
      <c r="H22">
        <v>12</v>
      </c>
      <c r="I22" s="3">
        <v>549</v>
      </c>
      <c r="J22" s="3">
        <f>vendas[[#This Row],[quantity]]*vendas[[#This Row],[unit_price_us_format]]</f>
        <v>6588</v>
      </c>
      <c r="K22" s="3">
        <f>vendas[[#This Row],[total em dólar]]*cotacao_dolar</f>
        <v>34389.360000000001</v>
      </c>
      <c r="L22" t="s">
        <v>17</v>
      </c>
      <c r="M22" t="s">
        <v>18</v>
      </c>
    </row>
    <row r="23" spans="1:13" x14ac:dyDescent="0.25">
      <c r="A23" t="s">
        <v>72</v>
      </c>
      <c r="B23" s="1">
        <v>46210</v>
      </c>
      <c r="C23" t="s">
        <v>41</v>
      </c>
      <c r="D23" t="s">
        <v>73</v>
      </c>
      <c r="E23" t="s">
        <v>14</v>
      </c>
      <c r="F23" t="s">
        <v>49</v>
      </c>
      <c r="G23" t="s">
        <v>38</v>
      </c>
      <c r="H23">
        <v>9</v>
      </c>
      <c r="I23" s="3">
        <v>78.650000000000006</v>
      </c>
      <c r="J23" s="3">
        <f>vendas[[#This Row],[quantity]]*vendas[[#This Row],[unit_price_us_format]]</f>
        <v>707.85</v>
      </c>
      <c r="K23" s="3">
        <f>vendas[[#This Row],[total em dólar]]*cotacao_dolar</f>
        <v>3694.9769999999999</v>
      </c>
      <c r="L23" t="s">
        <v>17</v>
      </c>
      <c r="M23" t="s">
        <v>18</v>
      </c>
    </row>
    <row r="24" spans="1:13" x14ac:dyDescent="0.25">
      <c r="A24" t="s">
        <v>74</v>
      </c>
      <c r="B24" s="1">
        <v>46214</v>
      </c>
      <c r="C24" t="s">
        <v>20</v>
      </c>
      <c r="D24" t="s">
        <v>21</v>
      </c>
      <c r="E24" t="s">
        <v>14</v>
      </c>
      <c r="F24" t="s">
        <v>27</v>
      </c>
      <c r="G24" t="s">
        <v>28</v>
      </c>
      <c r="H24">
        <v>1</v>
      </c>
      <c r="I24" s="3">
        <v>40.32</v>
      </c>
      <c r="J24" s="3">
        <f>vendas[[#This Row],[quantity]]*vendas[[#This Row],[unit_price_us_format]]</f>
        <v>40.32</v>
      </c>
      <c r="K24" s="3">
        <f>vendas[[#This Row],[total em dólar]]*cotacao_dolar</f>
        <v>210.47039999999998</v>
      </c>
      <c r="L24" t="s">
        <v>33</v>
      </c>
      <c r="M24" t="s">
        <v>18</v>
      </c>
    </row>
    <row r="25" spans="1:13" x14ac:dyDescent="0.25">
      <c r="A25" t="s">
        <v>75</v>
      </c>
      <c r="B25" s="1">
        <v>46211</v>
      </c>
      <c r="C25" t="s">
        <v>54</v>
      </c>
      <c r="D25" t="s">
        <v>55</v>
      </c>
      <c r="E25" t="s">
        <v>14</v>
      </c>
      <c r="F25" t="s">
        <v>68</v>
      </c>
      <c r="G25" t="s">
        <v>16</v>
      </c>
      <c r="H25">
        <v>4</v>
      </c>
      <c r="I25" s="3">
        <v>17.809999999999999</v>
      </c>
      <c r="J25" s="3">
        <f>vendas[[#This Row],[quantity]]*vendas[[#This Row],[unit_price_us_format]]</f>
        <v>71.239999999999995</v>
      </c>
      <c r="K25" s="3">
        <f>vendas[[#This Row],[total em dólar]]*cotacao_dolar</f>
        <v>371.87279999999998</v>
      </c>
      <c r="L25" t="s">
        <v>17</v>
      </c>
      <c r="M25" t="s">
        <v>29</v>
      </c>
    </row>
    <row r="26" spans="1:13" x14ac:dyDescent="0.25">
      <c r="A26" t="s">
        <v>76</v>
      </c>
      <c r="B26" s="1">
        <v>46209</v>
      </c>
      <c r="C26" t="s">
        <v>12</v>
      </c>
      <c r="D26" t="s">
        <v>13</v>
      </c>
      <c r="E26" t="s">
        <v>14</v>
      </c>
      <c r="F26" t="s">
        <v>37</v>
      </c>
      <c r="G26" t="s">
        <v>38</v>
      </c>
      <c r="H26">
        <v>8</v>
      </c>
      <c r="I26" s="3">
        <v>521.54999999999995</v>
      </c>
      <c r="J26" s="3">
        <f>vendas[[#This Row],[quantity]]*vendas[[#This Row],[unit_price_us_format]]</f>
        <v>4172.3999999999996</v>
      </c>
      <c r="K26" s="3">
        <f>vendas[[#This Row],[total em dólar]]*cotacao_dolar</f>
        <v>21779.927999999996</v>
      </c>
      <c r="L26" t="s">
        <v>17</v>
      </c>
      <c r="M26" t="s">
        <v>18</v>
      </c>
    </row>
    <row r="27" spans="1:13" x14ac:dyDescent="0.25">
      <c r="A27" t="s">
        <v>77</v>
      </c>
      <c r="B27" s="1">
        <v>46234</v>
      </c>
      <c r="C27" t="s">
        <v>20</v>
      </c>
      <c r="D27" t="s">
        <v>21</v>
      </c>
      <c r="E27" t="s">
        <v>14</v>
      </c>
      <c r="F27" t="s">
        <v>61</v>
      </c>
      <c r="G27" t="s">
        <v>23</v>
      </c>
      <c r="H27">
        <v>5</v>
      </c>
      <c r="I27" s="3">
        <v>93.98</v>
      </c>
      <c r="J27" s="3">
        <f>vendas[[#This Row],[quantity]]*vendas[[#This Row],[unit_price_us_format]]</f>
        <v>469.90000000000003</v>
      </c>
      <c r="K27" s="3">
        <f>vendas[[#This Row],[total em dólar]]*cotacao_dolar</f>
        <v>2452.8780000000002</v>
      </c>
      <c r="L27" t="s">
        <v>57</v>
      </c>
      <c r="M27" t="s">
        <v>43</v>
      </c>
    </row>
    <row r="28" spans="1:13" x14ac:dyDescent="0.25">
      <c r="A28" t="s">
        <v>78</v>
      </c>
      <c r="B28" s="1">
        <v>46238</v>
      </c>
      <c r="C28" t="s">
        <v>26</v>
      </c>
      <c r="D28" t="s">
        <v>21</v>
      </c>
      <c r="E28" t="s">
        <v>14</v>
      </c>
      <c r="F28" t="s">
        <v>37</v>
      </c>
      <c r="G28" t="s">
        <v>38</v>
      </c>
      <c r="H28">
        <v>5</v>
      </c>
      <c r="I28" s="3">
        <v>549</v>
      </c>
      <c r="J28" s="3">
        <f>vendas[[#This Row],[quantity]]*vendas[[#This Row],[unit_price_us_format]]</f>
        <v>2745</v>
      </c>
      <c r="K28" s="3">
        <f>vendas[[#This Row],[total em dólar]]*cotacao_dolar</f>
        <v>14328.9</v>
      </c>
      <c r="L28" t="s">
        <v>33</v>
      </c>
      <c r="M28" t="s">
        <v>18</v>
      </c>
    </row>
    <row r="29" spans="1:13" x14ac:dyDescent="0.25">
      <c r="A29" t="s">
        <v>79</v>
      </c>
      <c r="B29" s="1">
        <v>46237</v>
      </c>
      <c r="C29" t="s">
        <v>59</v>
      </c>
      <c r="D29" t="s">
        <v>13</v>
      </c>
      <c r="E29" t="s">
        <v>14</v>
      </c>
      <c r="F29" t="s">
        <v>22</v>
      </c>
      <c r="G29" t="s">
        <v>23</v>
      </c>
      <c r="H29">
        <v>4</v>
      </c>
      <c r="I29" s="3">
        <v>59.9</v>
      </c>
      <c r="J29" s="3">
        <f>vendas[[#This Row],[quantity]]*vendas[[#This Row],[unit_price_us_format]]</f>
        <v>239.6</v>
      </c>
      <c r="K29" s="3">
        <f>vendas[[#This Row],[total em dólar]]*cotacao_dolar</f>
        <v>1250.712</v>
      </c>
      <c r="L29" t="s">
        <v>24</v>
      </c>
      <c r="M29" t="s">
        <v>18</v>
      </c>
    </row>
    <row r="30" spans="1:13" x14ac:dyDescent="0.25">
      <c r="A30" t="s">
        <v>80</v>
      </c>
      <c r="B30" s="1">
        <v>46241</v>
      </c>
      <c r="C30" t="s">
        <v>20</v>
      </c>
      <c r="D30" t="s">
        <v>21</v>
      </c>
      <c r="E30" t="s">
        <v>14</v>
      </c>
      <c r="F30" t="s">
        <v>56</v>
      </c>
      <c r="G30" t="s">
        <v>23</v>
      </c>
      <c r="H30">
        <v>10</v>
      </c>
      <c r="I30" s="3">
        <v>189</v>
      </c>
      <c r="J30" s="3">
        <f>vendas[[#This Row],[quantity]]*vendas[[#This Row],[unit_price_us_format]]</f>
        <v>1890</v>
      </c>
      <c r="K30" s="3">
        <f>vendas[[#This Row],[total em dólar]]*cotacao_dolar</f>
        <v>9865.7999999999993</v>
      </c>
      <c r="L30" t="s">
        <v>24</v>
      </c>
      <c r="M30" t="s">
        <v>81</v>
      </c>
    </row>
    <row r="31" spans="1:13" x14ac:dyDescent="0.25">
      <c r="A31" t="s">
        <v>82</v>
      </c>
      <c r="B31" s="1">
        <v>46244</v>
      </c>
      <c r="C31" t="s">
        <v>71</v>
      </c>
      <c r="D31" t="s">
        <v>36</v>
      </c>
      <c r="E31" t="s">
        <v>14</v>
      </c>
      <c r="F31" t="s">
        <v>56</v>
      </c>
      <c r="G31" t="s">
        <v>23</v>
      </c>
      <c r="H31">
        <v>2</v>
      </c>
      <c r="I31" s="3">
        <v>179.55</v>
      </c>
      <c r="J31" s="3">
        <f>vendas[[#This Row],[quantity]]*vendas[[#This Row],[unit_price_us_format]]</f>
        <v>359.1</v>
      </c>
      <c r="K31" s="3">
        <f>vendas[[#This Row],[total em dólar]]*cotacao_dolar</f>
        <v>1874.502</v>
      </c>
      <c r="L31" t="s">
        <v>33</v>
      </c>
      <c r="M31" t="s">
        <v>18</v>
      </c>
    </row>
    <row r="32" spans="1:13" x14ac:dyDescent="0.25">
      <c r="A32" t="s">
        <v>83</v>
      </c>
      <c r="B32" s="1">
        <v>46219</v>
      </c>
      <c r="C32" t="s">
        <v>41</v>
      </c>
      <c r="D32" t="s">
        <v>42</v>
      </c>
      <c r="E32" t="s">
        <v>14</v>
      </c>
      <c r="F32" t="s">
        <v>49</v>
      </c>
      <c r="G32" t="s">
        <v>38</v>
      </c>
      <c r="H32">
        <v>8</v>
      </c>
      <c r="I32" s="3">
        <v>74.900000000000006</v>
      </c>
      <c r="J32" s="3">
        <f>vendas[[#This Row],[quantity]]*vendas[[#This Row],[unit_price_us_format]]</f>
        <v>599.20000000000005</v>
      </c>
      <c r="K32" s="3">
        <f>vendas[[#This Row],[total em dólar]]*cotacao_dolar</f>
        <v>3127.8240000000001</v>
      </c>
      <c r="L32" t="s">
        <v>17</v>
      </c>
      <c r="M32" t="s">
        <v>29</v>
      </c>
    </row>
    <row r="33" spans="1:13" x14ac:dyDescent="0.25">
      <c r="A33" t="s">
        <v>84</v>
      </c>
      <c r="B33" s="1">
        <v>46240</v>
      </c>
      <c r="C33" t="s">
        <v>85</v>
      </c>
      <c r="D33" t="s">
        <v>36</v>
      </c>
      <c r="E33" t="s">
        <v>14</v>
      </c>
      <c r="F33" t="s">
        <v>51</v>
      </c>
      <c r="G33" t="s">
        <v>32</v>
      </c>
      <c r="H33">
        <v>4</v>
      </c>
      <c r="I33" s="3">
        <v>27.9</v>
      </c>
      <c r="J33" s="3">
        <f>vendas[[#This Row],[quantity]]*vendas[[#This Row],[unit_price_us_format]]</f>
        <v>111.6</v>
      </c>
      <c r="K33" s="3">
        <f>vendas[[#This Row],[total em dólar]]*cotacao_dolar</f>
        <v>582.55199999999991</v>
      </c>
      <c r="L33" t="s">
        <v>57</v>
      </c>
      <c r="M33" t="s">
        <v>18</v>
      </c>
    </row>
    <row r="34" spans="1:13" x14ac:dyDescent="0.25">
      <c r="A34" t="s">
        <v>86</v>
      </c>
      <c r="B34" s="1">
        <v>46210</v>
      </c>
      <c r="C34" t="s">
        <v>65</v>
      </c>
      <c r="D34" t="s">
        <v>36</v>
      </c>
      <c r="E34" t="s">
        <v>14</v>
      </c>
      <c r="F34" t="s">
        <v>87</v>
      </c>
      <c r="G34" t="s">
        <v>16</v>
      </c>
      <c r="H34">
        <v>7</v>
      </c>
      <c r="I34" s="3">
        <v>14.3</v>
      </c>
      <c r="J34" s="3">
        <f>vendas[[#This Row],[quantity]]*vendas[[#This Row],[unit_price_us_format]]</f>
        <v>100.10000000000001</v>
      </c>
      <c r="K34" s="3">
        <f>vendas[[#This Row],[total em dólar]]*cotacao_dolar</f>
        <v>522.52200000000005</v>
      </c>
      <c r="L34" t="s">
        <v>57</v>
      </c>
      <c r="M34" t="s">
        <v>29</v>
      </c>
    </row>
    <row r="35" spans="1:13" x14ac:dyDescent="0.25">
      <c r="A35" t="s">
        <v>88</v>
      </c>
      <c r="B35" s="1">
        <v>46207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>
        <v>7</v>
      </c>
      <c r="I35" s="3">
        <v>32.9</v>
      </c>
      <c r="J35" s="3">
        <f>vendas[[#This Row],[quantity]]*vendas[[#This Row],[unit_price_us_format]]</f>
        <v>230.29999999999998</v>
      </c>
      <c r="K35" s="3">
        <f>vendas[[#This Row],[total em dólar]]*cotacao_dolar</f>
        <v>1202.1659999999999</v>
      </c>
      <c r="L35" t="s">
        <v>24</v>
      </c>
      <c r="M35" t="s">
        <v>29</v>
      </c>
    </row>
    <row r="36" spans="1:13" x14ac:dyDescent="0.25">
      <c r="A36" t="s">
        <v>89</v>
      </c>
      <c r="B36" s="1">
        <v>46216</v>
      </c>
      <c r="C36" t="s">
        <v>20</v>
      </c>
      <c r="D36" t="s">
        <v>21</v>
      </c>
      <c r="E36" t="s">
        <v>14</v>
      </c>
      <c r="F36" t="s">
        <v>51</v>
      </c>
      <c r="G36" t="s">
        <v>32</v>
      </c>
      <c r="H36">
        <v>3</v>
      </c>
      <c r="I36" s="3">
        <v>27.9</v>
      </c>
      <c r="J36" s="3">
        <f>vendas[[#This Row],[quantity]]*vendas[[#This Row],[unit_price_us_format]]</f>
        <v>83.699999999999989</v>
      </c>
      <c r="K36" s="3">
        <f>vendas[[#This Row],[total em dólar]]*cotacao_dolar</f>
        <v>436.91399999999993</v>
      </c>
      <c r="L36" t="s">
        <v>17</v>
      </c>
      <c r="M36" t="s">
        <v>18</v>
      </c>
    </row>
    <row r="37" spans="1:13" x14ac:dyDescent="0.25">
      <c r="A37" t="s">
        <v>90</v>
      </c>
      <c r="B37" s="1">
        <v>46219</v>
      </c>
      <c r="C37" t="s">
        <v>12</v>
      </c>
      <c r="D37" t="s">
        <v>13</v>
      </c>
      <c r="E37" t="s">
        <v>14</v>
      </c>
      <c r="F37" t="s">
        <v>51</v>
      </c>
      <c r="G37" t="s">
        <v>32</v>
      </c>
      <c r="H37">
        <v>9</v>
      </c>
      <c r="I37" s="3">
        <v>26.5</v>
      </c>
      <c r="J37" s="3">
        <f>vendas[[#This Row],[quantity]]*vendas[[#This Row],[unit_price_us_format]]</f>
        <v>238.5</v>
      </c>
      <c r="K37" s="3">
        <f>vendas[[#This Row],[total em dólar]]*cotacao_dolar</f>
        <v>1244.97</v>
      </c>
      <c r="L37" t="s">
        <v>24</v>
      </c>
      <c r="M37" t="s">
        <v>18</v>
      </c>
    </row>
    <row r="38" spans="1:13" x14ac:dyDescent="0.25">
      <c r="A38" t="s">
        <v>91</v>
      </c>
      <c r="B38" s="1">
        <v>46238</v>
      </c>
      <c r="C38" t="s">
        <v>71</v>
      </c>
      <c r="D38" t="s">
        <v>36</v>
      </c>
      <c r="E38" t="s">
        <v>14</v>
      </c>
      <c r="F38" t="s">
        <v>22</v>
      </c>
      <c r="G38" t="s">
        <v>23</v>
      </c>
      <c r="H38">
        <v>4</v>
      </c>
      <c r="I38" s="3">
        <v>59.9</v>
      </c>
      <c r="J38" s="3">
        <f>vendas[[#This Row],[quantity]]*vendas[[#This Row],[unit_price_us_format]]</f>
        <v>239.6</v>
      </c>
      <c r="K38" s="3">
        <f>vendas[[#This Row],[total em dólar]]*cotacao_dolar</f>
        <v>1250.712</v>
      </c>
      <c r="L38" t="s">
        <v>57</v>
      </c>
      <c r="M38" t="s">
        <v>18</v>
      </c>
    </row>
    <row r="39" spans="1:13" x14ac:dyDescent="0.25">
      <c r="A39" t="s">
        <v>92</v>
      </c>
      <c r="B39" s="1">
        <v>46217</v>
      </c>
      <c r="C39" t="s">
        <v>65</v>
      </c>
      <c r="D39" t="s">
        <v>36</v>
      </c>
      <c r="E39" t="s">
        <v>14</v>
      </c>
      <c r="F39" t="s">
        <v>15</v>
      </c>
      <c r="G39" t="s">
        <v>16</v>
      </c>
      <c r="H39">
        <v>3</v>
      </c>
      <c r="I39" s="3">
        <v>32.9</v>
      </c>
      <c r="J39" s="3">
        <f>vendas[[#This Row],[quantity]]*vendas[[#This Row],[unit_price_us_format]]</f>
        <v>98.699999999999989</v>
      </c>
      <c r="K39" s="3">
        <f>vendas[[#This Row],[total em dólar]]*cotacao_dolar</f>
        <v>515.21399999999994</v>
      </c>
      <c r="L39" t="s">
        <v>24</v>
      </c>
      <c r="M39" t="s">
        <v>43</v>
      </c>
    </row>
    <row r="40" spans="1:13" x14ac:dyDescent="0.25">
      <c r="A40" t="s">
        <v>93</v>
      </c>
      <c r="B40" s="1">
        <v>46220</v>
      </c>
      <c r="C40" t="s">
        <v>59</v>
      </c>
      <c r="D40" t="s">
        <v>13</v>
      </c>
      <c r="E40" t="s">
        <v>14</v>
      </c>
      <c r="F40" t="s">
        <v>68</v>
      </c>
      <c r="G40" t="s">
        <v>16</v>
      </c>
      <c r="H40">
        <v>7</v>
      </c>
      <c r="I40" s="3">
        <v>19.690000000000001</v>
      </c>
      <c r="J40" s="3">
        <f>vendas[[#This Row],[quantity]]*vendas[[#This Row],[unit_price_us_format]]</f>
        <v>137.83000000000001</v>
      </c>
      <c r="K40" s="3">
        <f>vendas[[#This Row],[total em dólar]]*cotacao_dolar</f>
        <v>719.47260000000006</v>
      </c>
      <c r="L40" t="s">
        <v>57</v>
      </c>
      <c r="M40" t="s">
        <v>18</v>
      </c>
    </row>
    <row r="41" spans="1:13" x14ac:dyDescent="0.25">
      <c r="A41" t="s">
        <v>94</v>
      </c>
      <c r="B41" s="1">
        <v>46222</v>
      </c>
      <c r="C41" t="s">
        <v>26</v>
      </c>
      <c r="D41" t="s">
        <v>21</v>
      </c>
      <c r="E41" t="s">
        <v>14</v>
      </c>
      <c r="F41" t="s">
        <v>15</v>
      </c>
      <c r="G41" t="s">
        <v>16</v>
      </c>
      <c r="H41">
        <v>10</v>
      </c>
      <c r="I41" s="3">
        <v>34.549999999999997</v>
      </c>
      <c r="J41" s="3">
        <f>vendas[[#This Row],[quantity]]*vendas[[#This Row],[unit_price_us_format]]</f>
        <v>345.5</v>
      </c>
      <c r="K41" s="3">
        <f>vendas[[#This Row],[total em dólar]]*cotacao_dolar</f>
        <v>1803.51</v>
      </c>
      <c r="L41" t="s">
        <v>24</v>
      </c>
      <c r="M41" t="s">
        <v>29</v>
      </c>
    </row>
    <row r="42" spans="1:13" x14ac:dyDescent="0.25">
      <c r="A42" t="s">
        <v>95</v>
      </c>
      <c r="B42" s="1">
        <v>46207</v>
      </c>
      <c r="C42" t="s">
        <v>71</v>
      </c>
      <c r="D42" t="s">
        <v>36</v>
      </c>
      <c r="E42" t="s">
        <v>14</v>
      </c>
      <c r="F42" t="s">
        <v>66</v>
      </c>
      <c r="G42" t="s">
        <v>28</v>
      </c>
      <c r="H42">
        <v>8</v>
      </c>
      <c r="I42" s="3">
        <v>22.89</v>
      </c>
      <c r="J42" s="3">
        <f>vendas[[#This Row],[quantity]]*vendas[[#This Row],[unit_price_us_format]]</f>
        <v>183.12</v>
      </c>
      <c r="K42" s="3">
        <f>vendas[[#This Row],[total em dólar]]*cotacao_dolar</f>
        <v>955.88639999999998</v>
      </c>
      <c r="M42" t="s">
        <v>18</v>
      </c>
    </row>
    <row r="43" spans="1:13" x14ac:dyDescent="0.25">
      <c r="A43" t="s">
        <v>96</v>
      </c>
      <c r="B43" s="1">
        <v>46236</v>
      </c>
      <c r="C43" t="s">
        <v>12</v>
      </c>
      <c r="D43" t="s">
        <v>13</v>
      </c>
      <c r="E43" t="s">
        <v>14</v>
      </c>
      <c r="F43" t="s">
        <v>61</v>
      </c>
      <c r="G43" t="s">
        <v>23</v>
      </c>
      <c r="H43">
        <v>2</v>
      </c>
      <c r="I43" s="3">
        <v>93.98</v>
      </c>
      <c r="J43" s="3">
        <f>vendas[[#This Row],[quantity]]*vendas[[#This Row],[unit_price_us_format]]</f>
        <v>187.96</v>
      </c>
      <c r="K43" s="3">
        <f>vendas[[#This Row],[total em dólar]]*cotacao_dolar</f>
        <v>981.15120000000002</v>
      </c>
      <c r="L43" t="s">
        <v>24</v>
      </c>
      <c r="M43" t="s">
        <v>18</v>
      </c>
    </row>
    <row r="44" spans="1:13" x14ac:dyDescent="0.25">
      <c r="A44" t="s">
        <v>97</v>
      </c>
      <c r="B44" s="1">
        <v>46219</v>
      </c>
      <c r="C44" t="s">
        <v>65</v>
      </c>
      <c r="D44" t="s">
        <v>36</v>
      </c>
      <c r="E44" t="s">
        <v>14</v>
      </c>
      <c r="F44" t="s">
        <v>22</v>
      </c>
      <c r="G44" t="s">
        <v>23</v>
      </c>
      <c r="H44">
        <v>10</v>
      </c>
      <c r="I44" s="3">
        <v>59.9</v>
      </c>
      <c r="J44" s="3">
        <f>vendas[[#This Row],[quantity]]*vendas[[#This Row],[unit_price_us_format]]</f>
        <v>599</v>
      </c>
      <c r="K44" s="3">
        <f>vendas[[#This Row],[total em dólar]]*cotacao_dolar</f>
        <v>3126.7799999999997</v>
      </c>
      <c r="L44" t="s">
        <v>24</v>
      </c>
      <c r="M44" t="s">
        <v>18</v>
      </c>
    </row>
    <row r="45" spans="1:13" x14ac:dyDescent="0.25">
      <c r="A45" t="s">
        <v>98</v>
      </c>
      <c r="B45" s="1">
        <v>46230</v>
      </c>
      <c r="C45" t="s">
        <v>85</v>
      </c>
      <c r="D45" t="s">
        <v>36</v>
      </c>
      <c r="E45" t="s">
        <v>14</v>
      </c>
      <c r="F45" t="s">
        <v>66</v>
      </c>
      <c r="G45" t="s">
        <v>28</v>
      </c>
      <c r="H45">
        <v>9</v>
      </c>
      <c r="I45" s="3">
        <v>21.8</v>
      </c>
      <c r="J45" s="3">
        <f>vendas[[#This Row],[quantity]]*vendas[[#This Row],[unit_price_us_format]]</f>
        <v>196.20000000000002</v>
      </c>
      <c r="K45" s="3">
        <f>vendas[[#This Row],[total em dólar]]*cotacao_dolar</f>
        <v>1024.164</v>
      </c>
      <c r="L45" t="s">
        <v>33</v>
      </c>
      <c r="M45" t="s">
        <v>18</v>
      </c>
    </row>
    <row r="46" spans="1:13" x14ac:dyDescent="0.25">
      <c r="A46" t="s">
        <v>99</v>
      </c>
      <c r="B46" s="1">
        <v>46249</v>
      </c>
      <c r="C46" t="s">
        <v>54</v>
      </c>
      <c r="D46" t="s">
        <v>55</v>
      </c>
      <c r="E46" t="s">
        <v>14</v>
      </c>
      <c r="F46" t="s">
        <v>56</v>
      </c>
      <c r="G46" t="s">
        <v>23</v>
      </c>
      <c r="H46">
        <v>5</v>
      </c>
      <c r="I46" s="3">
        <v>189</v>
      </c>
      <c r="J46" s="3">
        <f>vendas[[#This Row],[quantity]]*vendas[[#This Row],[unit_price_us_format]]</f>
        <v>945</v>
      </c>
      <c r="K46" s="3">
        <f>vendas[[#This Row],[total em dólar]]*cotacao_dolar</f>
        <v>4932.8999999999996</v>
      </c>
      <c r="L46" t="s">
        <v>17</v>
      </c>
      <c r="M46" t="s">
        <v>18</v>
      </c>
    </row>
    <row r="47" spans="1:13" x14ac:dyDescent="0.25">
      <c r="A47" t="s">
        <v>100</v>
      </c>
      <c r="B47" s="1">
        <v>46223</v>
      </c>
      <c r="C47" t="s">
        <v>59</v>
      </c>
      <c r="D47" t="s">
        <v>13</v>
      </c>
      <c r="E47" t="s">
        <v>14</v>
      </c>
      <c r="F47" t="s">
        <v>87</v>
      </c>
      <c r="G47" t="s">
        <v>16</v>
      </c>
      <c r="H47">
        <v>2</v>
      </c>
      <c r="I47" s="3">
        <v>13.59</v>
      </c>
      <c r="J47" s="3">
        <f>vendas[[#This Row],[quantity]]*vendas[[#This Row],[unit_price_us_format]]</f>
        <v>27.18</v>
      </c>
      <c r="K47" s="3">
        <f>vendas[[#This Row],[total em dólar]]*cotacao_dolar</f>
        <v>141.87959999999998</v>
      </c>
      <c r="L47" t="s">
        <v>57</v>
      </c>
      <c r="M47" t="s">
        <v>18</v>
      </c>
    </row>
    <row r="48" spans="1:13" x14ac:dyDescent="0.25">
      <c r="A48" t="s">
        <v>101</v>
      </c>
      <c r="B48" s="1">
        <v>46240</v>
      </c>
      <c r="C48" t="s">
        <v>12</v>
      </c>
      <c r="D48" t="s">
        <v>13</v>
      </c>
      <c r="E48" t="s">
        <v>14</v>
      </c>
      <c r="F48" t="s">
        <v>22</v>
      </c>
      <c r="G48" t="s">
        <v>23</v>
      </c>
      <c r="H48">
        <v>9</v>
      </c>
      <c r="I48" s="3">
        <v>59.9</v>
      </c>
      <c r="J48" s="3">
        <f>vendas[[#This Row],[quantity]]*vendas[[#This Row],[unit_price_us_format]]</f>
        <v>539.1</v>
      </c>
      <c r="K48" s="3">
        <f>vendas[[#This Row],[total em dólar]]*cotacao_dolar</f>
        <v>2814.1019999999999</v>
      </c>
      <c r="L48" t="s">
        <v>33</v>
      </c>
      <c r="M48" t="s">
        <v>18</v>
      </c>
    </row>
    <row r="49" spans="1:13" x14ac:dyDescent="0.25">
      <c r="A49" t="s">
        <v>102</v>
      </c>
      <c r="B49" s="1">
        <v>46226</v>
      </c>
      <c r="C49" t="s">
        <v>12</v>
      </c>
      <c r="D49" t="s">
        <v>13</v>
      </c>
      <c r="E49" t="s">
        <v>14</v>
      </c>
      <c r="F49" t="s">
        <v>56</v>
      </c>
      <c r="H49">
        <v>6</v>
      </c>
      <c r="I49" s="3">
        <v>189</v>
      </c>
      <c r="J49" s="3">
        <f>vendas[[#This Row],[quantity]]*vendas[[#This Row],[unit_price_us_format]]</f>
        <v>1134</v>
      </c>
      <c r="K49" s="3">
        <f>vendas[[#This Row],[total em dólar]]*cotacao_dolar</f>
        <v>5919.48</v>
      </c>
      <c r="L49" t="s">
        <v>17</v>
      </c>
      <c r="M49" t="s">
        <v>18</v>
      </c>
    </row>
    <row r="50" spans="1:13" x14ac:dyDescent="0.25">
      <c r="A50" t="s">
        <v>103</v>
      </c>
      <c r="B50" s="1">
        <v>46238</v>
      </c>
      <c r="C50" t="s">
        <v>41</v>
      </c>
      <c r="D50" t="s">
        <v>42</v>
      </c>
      <c r="E50" t="s">
        <v>14</v>
      </c>
      <c r="F50" t="s">
        <v>66</v>
      </c>
      <c r="G50" t="s">
        <v>28</v>
      </c>
      <c r="H50">
        <v>11</v>
      </c>
      <c r="I50" s="3">
        <v>22.89</v>
      </c>
      <c r="J50" s="3">
        <f>vendas[[#This Row],[quantity]]*vendas[[#This Row],[unit_price_us_format]]</f>
        <v>251.79000000000002</v>
      </c>
      <c r="K50" s="3">
        <f>vendas[[#This Row],[total em dólar]]*cotacao_dolar</f>
        <v>1314.3438000000001</v>
      </c>
      <c r="L50" t="s">
        <v>24</v>
      </c>
      <c r="M50" t="s">
        <v>18</v>
      </c>
    </row>
    <row r="51" spans="1:13" x14ac:dyDescent="0.25">
      <c r="A51" t="s">
        <v>104</v>
      </c>
      <c r="B51" s="1">
        <v>46239</v>
      </c>
      <c r="C51" t="s">
        <v>41</v>
      </c>
      <c r="D51" t="s">
        <v>42</v>
      </c>
      <c r="E51" t="s">
        <v>14</v>
      </c>
      <c r="F51" t="s">
        <v>49</v>
      </c>
      <c r="G51" t="s">
        <v>38</v>
      </c>
      <c r="H51">
        <v>2</v>
      </c>
      <c r="I51" s="3">
        <v>74.900000000000006</v>
      </c>
      <c r="J51" s="3">
        <f>vendas[[#This Row],[quantity]]*vendas[[#This Row],[unit_price_us_format]]</f>
        <v>149.80000000000001</v>
      </c>
      <c r="K51" s="3">
        <f>vendas[[#This Row],[total em dólar]]*cotacao_dolar</f>
        <v>781.95600000000002</v>
      </c>
      <c r="L51" t="s">
        <v>33</v>
      </c>
      <c r="M51" t="s">
        <v>18</v>
      </c>
    </row>
    <row r="52" spans="1:13" x14ac:dyDescent="0.25">
      <c r="A52" t="s">
        <v>105</v>
      </c>
      <c r="B52" s="1">
        <v>46210</v>
      </c>
      <c r="C52" t="s">
        <v>20</v>
      </c>
      <c r="D52" t="s">
        <v>21</v>
      </c>
      <c r="E52" t="s">
        <v>14</v>
      </c>
      <c r="F52" t="s">
        <v>61</v>
      </c>
      <c r="G52" t="s">
        <v>23</v>
      </c>
      <c r="H52">
        <v>5</v>
      </c>
      <c r="I52" s="3">
        <v>89.5</v>
      </c>
      <c r="J52" s="3">
        <f>vendas[[#This Row],[quantity]]*vendas[[#This Row],[unit_price_us_format]]</f>
        <v>447.5</v>
      </c>
      <c r="K52" s="3">
        <f>vendas[[#This Row],[total em dólar]]*cotacao_dolar</f>
        <v>2335.9499999999998</v>
      </c>
      <c r="L52" t="s">
        <v>17</v>
      </c>
      <c r="M52" t="s">
        <v>29</v>
      </c>
    </row>
    <row r="53" spans="1:13" x14ac:dyDescent="0.25">
      <c r="A53" t="s">
        <v>106</v>
      </c>
      <c r="B53" s="1">
        <v>46217</v>
      </c>
      <c r="C53" t="s">
        <v>41</v>
      </c>
      <c r="D53" t="s">
        <v>42</v>
      </c>
      <c r="E53" t="s">
        <v>14</v>
      </c>
      <c r="F53" t="s">
        <v>27</v>
      </c>
      <c r="G53" t="s">
        <v>28</v>
      </c>
      <c r="H53">
        <v>8</v>
      </c>
      <c r="I53" s="3">
        <v>38.4</v>
      </c>
      <c r="J53" s="3">
        <f>vendas[[#This Row],[quantity]]*vendas[[#This Row],[unit_price_us_format]]</f>
        <v>307.2</v>
      </c>
      <c r="K53" s="3">
        <f>vendas[[#This Row],[total em dólar]]*cotacao_dolar</f>
        <v>1603.5839999999998</v>
      </c>
      <c r="L53" t="s">
        <v>24</v>
      </c>
      <c r="M53" t="s">
        <v>18</v>
      </c>
    </row>
    <row r="54" spans="1:13" x14ac:dyDescent="0.25">
      <c r="A54" t="s">
        <v>107</v>
      </c>
      <c r="B54" s="1">
        <v>46231</v>
      </c>
      <c r="C54" t="s">
        <v>41</v>
      </c>
      <c r="D54" t="s">
        <v>42</v>
      </c>
      <c r="E54" t="s">
        <v>14</v>
      </c>
      <c r="F54" t="s">
        <v>15</v>
      </c>
      <c r="G54" t="s">
        <v>16</v>
      </c>
      <c r="H54">
        <v>1</v>
      </c>
      <c r="I54" s="3">
        <v>32.9</v>
      </c>
      <c r="J54" s="3">
        <f>vendas[[#This Row],[quantity]]*vendas[[#This Row],[unit_price_us_format]]</f>
        <v>32.9</v>
      </c>
      <c r="K54" s="3">
        <f>vendas[[#This Row],[total em dólar]]*cotacao_dolar</f>
        <v>171.73799999999997</v>
      </c>
      <c r="L54" t="s">
        <v>17</v>
      </c>
      <c r="M54" t="s">
        <v>18</v>
      </c>
    </row>
    <row r="55" spans="1:13" x14ac:dyDescent="0.25">
      <c r="A55" t="s">
        <v>108</v>
      </c>
      <c r="B55" s="1">
        <v>46220</v>
      </c>
      <c r="C55" t="s">
        <v>35</v>
      </c>
      <c r="D55" t="s">
        <v>36</v>
      </c>
      <c r="E55" t="s">
        <v>14</v>
      </c>
      <c r="F55" t="s">
        <v>37</v>
      </c>
      <c r="G55" t="s">
        <v>38</v>
      </c>
      <c r="H55">
        <v>8</v>
      </c>
      <c r="I55" s="3">
        <v>576.45000000000005</v>
      </c>
      <c r="J55" s="3">
        <f>vendas[[#This Row],[quantity]]*vendas[[#This Row],[unit_price_us_format]]</f>
        <v>4611.6000000000004</v>
      </c>
      <c r="K55" s="3">
        <f>vendas[[#This Row],[total em dólar]]*cotacao_dolar</f>
        <v>24072.552</v>
      </c>
      <c r="L55" t="s">
        <v>57</v>
      </c>
      <c r="M55" t="s">
        <v>18</v>
      </c>
    </row>
    <row r="56" spans="1:13" x14ac:dyDescent="0.25">
      <c r="A56" t="s">
        <v>109</v>
      </c>
      <c r="B56" s="1">
        <v>46211</v>
      </c>
      <c r="C56" t="s">
        <v>12</v>
      </c>
      <c r="D56" t="s">
        <v>13</v>
      </c>
      <c r="E56" t="s">
        <v>14</v>
      </c>
      <c r="F56" t="s">
        <v>37</v>
      </c>
      <c r="G56" t="s">
        <v>38</v>
      </c>
      <c r="H56">
        <v>3</v>
      </c>
      <c r="I56" s="3">
        <v>576.45000000000005</v>
      </c>
      <c r="J56" s="3">
        <f>vendas[[#This Row],[quantity]]*vendas[[#This Row],[unit_price_us_format]]</f>
        <v>1729.3500000000001</v>
      </c>
      <c r="K56" s="3">
        <f>vendas[[#This Row],[total em dólar]]*cotacao_dolar</f>
        <v>9027.2070000000003</v>
      </c>
      <c r="L56" t="s">
        <v>24</v>
      </c>
      <c r="M56" t="s">
        <v>29</v>
      </c>
    </row>
    <row r="57" spans="1:13" x14ac:dyDescent="0.25">
      <c r="A57" t="s">
        <v>110</v>
      </c>
      <c r="B57" s="1">
        <v>46241</v>
      </c>
      <c r="C57" t="s">
        <v>111</v>
      </c>
      <c r="D57" t="s">
        <v>21</v>
      </c>
      <c r="E57" t="s">
        <v>14</v>
      </c>
      <c r="F57" t="s">
        <v>61</v>
      </c>
      <c r="G57" t="s">
        <v>23</v>
      </c>
      <c r="H57">
        <v>7</v>
      </c>
      <c r="I57" s="3">
        <v>89.5</v>
      </c>
      <c r="J57" s="3">
        <f>vendas[[#This Row],[quantity]]*vendas[[#This Row],[unit_price_us_format]]</f>
        <v>626.5</v>
      </c>
      <c r="K57" s="3">
        <f>vendas[[#This Row],[total em dólar]]*cotacao_dolar</f>
        <v>3270.33</v>
      </c>
      <c r="L57" t="s">
        <v>24</v>
      </c>
      <c r="M57" t="s">
        <v>18</v>
      </c>
    </row>
    <row r="58" spans="1:13" x14ac:dyDescent="0.25">
      <c r="A58" t="s">
        <v>112</v>
      </c>
      <c r="B58" s="1">
        <v>46206</v>
      </c>
      <c r="C58" t="s">
        <v>54</v>
      </c>
      <c r="D58" t="s">
        <v>55</v>
      </c>
      <c r="E58" t="s">
        <v>14</v>
      </c>
      <c r="F58" t="s">
        <v>56</v>
      </c>
      <c r="G58" t="s">
        <v>23</v>
      </c>
      <c r="H58">
        <v>11</v>
      </c>
      <c r="I58" s="3">
        <v>189</v>
      </c>
      <c r="J58" s="3">
        <f>vendas[[#This Row],[quantity]]*vendas[[#This Row],[unit_price_us_format]]</f>
        <v>2079</v>
      </c>
      <c r="K58" s="3">
        <f>vendas[[#This Row],[total em dólar]]*cotacao_dolar</f>
        <v>10852.38</v>
      </c>
      <c r="L58" t="s">
        <v>24</v>
      </c>
      <c r="M58" t="s">
        <v>18</v>
      </c>
    </row>
    <row r="59" spans="1:13" x14ac:dyDescent="0.25">
      <c r="A59" t="s">
        <v>113</v>
      </c>
      <c r="B59" s="1">
        <v>46239</v>
      </c>
      <c r="C59" t="s">
        <v>65</v>
      </c>
      <c r="D59" t="s">
        <v>36</v>
      </c>
      <c r="E59" t="s">
        <v>14</v>
      </c>
      <c r="F59" t="s">
        <v>66</v>
      </c>
      <c r="G59" t="s">
        <v>28</v>
      </c>
      <c r="H59">
        <v>12</v>
      </c>
      <c r="I59" s="3">
        <v>21.8</v>
      </c>
      <c r="J59" s="3">
        <f>vendas[[#This Row],[quantity]]*vendas[[#This Row],[unit_price_us_format]]</f>
        <v>261.60000000000002</v>
      </c>
      <c r="K59" s="3">
        <f>vendas[[#This Row],[total em dólar]]*cotacao_dolar</f>
        <v>1365.5520000000001</v>
      </c>
      <c r="L59" t="s">
        <v>17</v>
      </c>
      <c r="M59" t="s">
        <v>29</v>
      </c>
    </row>
    <row r="60" spans="1:13" x14ac:dyDescent="0.25">
      <c r="A60" t="s">
        <v>114</v>
      </c>
      <c r="B60" s="1">
        <v>46215</v>
      </c>
      <c r="C60" t="s">
        <v>65</v>
      </c>
      <c r="D60" t="s">
        <v>36</v>
      </c>
      <c r="E60" t="s">
        <v>14</v>
      </c>
      <c r="F60" t="s">
        <v>15</v>
      </c>
      <c r="G60" t="s">
        <v>16</v>
      </c>
      <c r="H60">
        <v>3</v>
      </c>
      <c r="I60" s="3">
        <v>32.9</v>
      </c>
      <c r="J60" s="3">
        <f>vendas[[#This Row],[quantity]]*vendas[[#This Row],[unit_price_us_format]]</f>
        <v>98.699999999999989</v>
      </c>
      <c r="K60" s="3">
        <f>vendas[[#This Row],[total em dólar]]*cotacao_dolar</f>
        <v>515.21399999999994</v>
      </c>
      <c r="L60" t="s">
        <v>57</v>
      </c>
      <c r="M60" t="s">
        <v>29</v>
      </c>
    </row>
    <row r="61" spans="1:13" x14ac:dyDescent="0.25">
      <c r="A61" t="s">
        <v>115</v>
      </c>
      <c r="B61" s="1">
        <v>46219</v>
      </c>
      <c r="C61" t="s">
        <v>41</v>
      </c>
      <c r="D61" t="s">
        <v>42</v>
      </c>
      <c r="E61" t="s">
        <v>14</v>
      </c>
      <c r="F61" t="s">
        <v>61</v>
      </c>
      <c r="G61" t="s">
        <v>23</v>
      </c>
      <c r="H61">
        <v>12</v>
      </c>
      <c r="I61" s="3">
        <v>85.02</v>
      </c>
      <c r="J61" s="3">
        <f>vendas[[#This Row],[quantity]]*vendas[[#This Row],[unit_price_us_format]]</f>
        <v>1020.24</v>
      </c>
      <c r="K61" s="3">
        <f>vendas[[#This Row],[total em dólar]]*cotacao_dolar</f>
        <v>5325.6527999999998</v>
      </c>
      <c r="L61" t="s">
        <v>57</v>
      </c>
      <c r="M61" t="s">
        <v>29</v>
      </c>
    </row>
    <row r="62" spans="1:13" x14ac:dyDescent="0.25">
      <c r="A62" t="s">
        <v>116</v>
      </c>
      <c r="B62" s="1">
        <v>46234</v>
      </c>
      <c r="C62" t="s">
        <v>26</v>
      </c>
      <c r="D62" t="s">
        <v>21</v>
      </c>
      <c r="E62" t="s">
        <v>14</v>
      </c>
      <c r="F62" t="s">
        <v>56</v>
      </c>
      <c r="G62" t="s">
        <v>23</v>
      </c>
      <c r="H62">
        <v>8</v>
      </c>
      <c r="I62" s="3">
        <v>189</v>
      </c>
      <c r="J62" s="3">
        <f>vendas[[#This Row],[quantity]]*vendas[[#This Row],[unit_price_us_format]]</f>
        <v>1512</v>
      </c>
      <c r="K62" s="3">
        <f>vendas[[#This Row],[total em dólar]]*cotacao_dolar</f>
        <v>7892.6399999999994</v>
      </c>
      <c r="L62" t="s">
        <v>33</v>
      </c>
      <c r="M62" t="s">
        <v>29</v>
      </c>
    </row>
    <row r="63" spans="1:13" x14ac:dyDescent="0.25">
      <c r="A63" t="s">
        <v>117</v>
      </c>
      <c r="B63" s="1">
        <v>46218</v>
      </c>
      <c r="C63" t="s">
        <v>26</v>
      </c>
      <c r="D63" t="s">
        <v>21</v>
      </c>
      <c r="E63" t="s">
        <v>14</v>
      </c>
      <c r="F63" t="s">
        <v>15</v>
      </c>
      <c r="G63" t="s">
        <v>16</v>
      </c>
      <c r="H63">
        <v>11</v>
      </c>
      <c r="I63" s="3">
        <v>32.9</v>
      </c>
      <c r="J63" s="3">
        <f>vendas[[#This Row],[quantity]]*vendas[[#This Row],[unit_price_us_format]]</f>
        <v>361.9</v>
      </c>
      <c r="K63" s="3">
        <f>vendas[[#This Row],[total em dólar]]*cotacao_dolar</f>
        <v>1889.1179999999997</v>
      </c>
      <c r="L63" t="s">
        <v>57</v>
      </c>
      <c r="M63" t="s">
        <v>18</v>
      </c>
    </row>
    <row r="64" spans="1:13" x14ac:dyDescent="0.25">
      <c r="A64" t="s">
        <v>118</v>
      </c>
      <c r="B64" s="1">
        <v>46208</v>
      </c>
      <c r="C64" t="s">
        <v>41</v>
      </c>
      <c r="D64" t="s">
        <v>119</v>
      </c>
      <c r="E64" t="s">
        <v>14</v>
      </c>
      <c r="F64" t="s">
        <v>87</v>
      </c>
      <c r="G64" t="s">
        <v>16</v>
      </c>
      <c r="H64">
        <v>11</v>
      </c>
      <c r="I64" s="3">
        <v>15.02</v>
      </c>
      <c r="J64" s="3">
        <f>vendas[[#This Row],[quantity]]*vendas[[#This Row],[unit_price_us_format]]</f>
        <v>165.22</v>
      </c>
      <c r="K64" s="3">
        <f>vendas[[#This Row],[total em dólar]]*cotacao_dolar</f>
        <v>862.44839999999999</v>
      </c>
      <c r="L64" t="s">
        <v>57</v>
      </c>
      <c r="M64" t="s">
        <v>18</v>
      </c>
    </row>
    <row r="65" spans="1:13" x14ac:dyDescent="0.25">
      <c r="A65" t="s">
        <v>120</v>
      </c>
      <c r="B65" s="1">
        <v>46238</v>
      </c>
      <c r="C65" t="s">
        <v>54</v>
      </c>
      <c r="D65" t="s">
        <v>55</v>
      </c>
      <c r="E65" t="s">
        <v>14</v>
      </c>
      <c r="F65" t="s">
        <v>15</v>
      </c>
      <c r="G65" t="s">
        <v>16</v>
      </c>
      <c r="H65">
        <v>2</v>
      </c>
      <c r="I65" s="3">
        <v>32.9</v>
      </c>
      <c r="J65" s="3">
        <f>vendas[[#This Row],[quantity]]*vendas[[#This Row],[unit_price_us_format]]</f>
        <v>65.8</v>
      </c>
      <c r="K65" s="3">
        <f>vendas[[#This Row],[total em dólar]]*cotacao_dolar</f>
        <v>343.47599999999994</v>
      </c>
      <c r="L65" t="s">
        <v>17</v>
      </c>
      <c r="M65" t="s">
        <v>18</v>
      </c>
    </row>
    <row r="66" spans="1:13" x14ac:dyDescent="0.25">
      <c r="A66" t="s">
        <v>121</v>
      </c>
      <c r="B66" s="1">
        <v>46220</v>
      </c>
      <c r="C66" t="s">
        <v>71</v>
      </c>
      <c r="D66" t="s">
        <v>36</v>
      </c>
      <c r="E66" t="s">
        <v>14</v>
      </c>
      <c r="F66" t="s">
        <v>22</v>
      </c>
      <c r="G66" t="s">
        <v>23</v>
      </c>
      <c r="H66">
        <v>10</v>
      </c>
      <c r="I66" s="3">
        <v>59.9</v>
      </c>
      <c r="J66" s="3">
        <f>vendas[[#This Row],[quantity]]*vendas[[#This Row],[unit_price_us_format]]</f>
        <v>599</v>
      </c>
      <c r="K66" s="3">
        <f>vendas[[#This Row],[total em dólar]]*cotacao_dolar</f>
        <v>3126.7799999999997</v>
      </c>
      <c r="L66" t="s">
        <v>33</v>
      </c>
      <c r="M66" t="s">
        <v>29</v>
      </c>
    </row>
    <row r="67" spans="1:13" x14ac:dyDescent="0.25">
      <c r="A67" t="s">
        <v>122</v>
      </c>
      <c r="B67" s="1">
        <v>46224</v>
      </c>
      <c r="C67" t="s">
        <v>65</v>
      </c>
      <c r="D67" t="s">
        <v>36</v>
      </c>
      <c r="E67" t="s">
        <v>14</v>
      </c>
      <c r="F67" t="s">
        <v>66</v>
      </c>
      <c r="G67" t="s">
        <v>28</v>
      </c>
      <c r="H67">
        <v>9</v>
      </c>
      <c r="I67" s="3">
        <v>20.71</v>
      </c>
      <c r="J67" s="3">
        <f>vendas[[#This Row],[quantity]]*vendas[[#This Row],[unit_price_us_format]]</f>
        <v>186.39000000000001</v>
      </c>
      <c r="K67" s="3">
        <f>vendas[[#This Row],[total em dólar]]*cotacao_dolar</f>
        <v>972.95580000000007</v>
      </c>
      <c r="L67" t="s">
        <v>57</v>
      </c>
      <c r="M67" t="s">
        <v>29</v>
      </c>
    </row>
    <row r="68" spans="1:13" x14ac:dyDescent="0.25">
      <c r="A68" t="s">
        <v>123</v>
      </c>
      <c r="B68" s="1">
        <v>46216</v>
      </c>
      <c r="C68" t="s">
        <v>41</v>
      </c>
      <c r="D68" t="s">
        <v>42</v>
      </c>
      <c r="E68" t="s">
        <v>14</v>
      </c>
      <c r="F68" t="s">
        <v>15</v>
      </c>
      <c r="G68" t="s">
        <v>16</v>
      </c>
      <c r="H68">
        <v>12</v>
      </c>
      <c r="I68" s="3">
        <v>32.9</v>
      </c>
      <c r="J68" s="3">
        <f>vendas[[#This Row],[quantity]]*vendas[[#This Row],[unit_price_us_format]]</f>
        <v>394.79999999999995</v>
      </c>
      <c r="K68" s="3">
        <f>vendas[[#This Row],[total em dólar]]*cotacao_dolar</f>
        <v>2060.8559999999998</v>
      </c>
      <c r="L68" t="s">
        <v>24</v>
      </c>
      <c r="M68" t="s">
        <v>18</v>
      </c>
    </row>
    <row r="69" spans="1:13" x14ac:dyDescent="0.25">
      <c r="A69" t="s">
        <v>124</v>
      </c>
      <c r="B69" s="1">
        <v>46238</v>
      </c>
      <c r="C69" t="s">
        <v>26</v>
      </c>
      <c r="D69" t="s">
        <v>21</v>
      </c>
      <c r="E69" t="s">
        <v>14</v>
      </c>
      <c r="F69" t="s">
        <v>87</v>
      </c>
      <c r="G69" t="s">
        <v>16</v>
      </c>
      <c r="H69">
        <v>7</v>
      </c>
      <c r="I69" s="3">
        <v>13.59</v>
      </c>
      <c r="J69" s="3">
        <f>vendas[[#This Row],[quantity]]*vendas[[#This Row],[unit_price_us_format]]</f>
        <v>95.13</v>
      </c>
      <c r="K69" s="3">
        <f>vendas[[#This Row],[total em dólar]]*cotacao_dolar</f>
        <v>496.57859999999994</v>
      </c>
      <c r="L69" t="s">
        <v>33</v>
      </c>
      <c r="M69" t="s">
        <v>18</v>
      </c>
    </row>
    <row r="70" spans="1:13" x14ac:dyDescent="0.25">
      <c r="A70" t="s">
        <v>125</v>
      </c>
      <c r="B70" s="1">
        <v>46246</v>
      </c>
      <c r="C70" t="s">
        <v>12</v>
      </c>
      <c r="D70" t="s">
        <v>13</v>
      </c>
      <c r="E70" t="s">
        <v>14</v>
      </c>
      <c r="F70" t="s">
        <v>37</v>
      </c>
      <c r="G70" t="s">
        <v>38</v>
      </c>
      <c r="H70">
        <v>5</v>
      </c>
      <c r="I70" s="3">
        <v>576.45000000000005</v>
      </c>
      <c r="J70" s="3">
        <f>vendas[[#This Row],[quantity]]*vendas[[#This Row],[unit_price_us_format]]</f>
        <v>2882.25</v>
      </c>
      <c r="K70" s="3">
        <f>vendas[[#This Row],[total em dólar]]*cotacao_dolar</f>
        <v>15045.344999999999</v>
      </c>
      <c r="L70" t="s">
        <v>33</v>
      </c>
      <c r="M70" t="s">
        <v>18</v>
      </c>
    </row>
    <row r="71" spans="1:13" x14ac:dyDescent="0.25">
      <c r="A71" t="s">
        <v>126</v>
      </c>
      <c r="B71" s="1">
        <v>46224</v>
      </c>
      <c r="C71" t="s">
        <v>65</v>
      </c>
      <c r="D71" t="s">
        <v>36</v>
      </c>
      <c r="E71" t="s">
        <v>14</v>
      </c>
      <c r="F71" t="s">
        <v>37</v>
      </c>
      <c r="G71" t="s">
        <v>38</v>
      </c>
      <c r="H71">
        <v>5</v>
      </c>
      <c r="I71" s="3">
        <v>576.45000000000005</v>
      </c>
      <c r="J71" s="3">
        <f>vendas[[#This Row],[quantity]]*vendas[[#This Row],[unit_price_us_format]]</f>
        <v>2882.25</v>
      </c>
      <c r="K71" s="3">
        <f>vendas[[#This Row],[total em dólar]]*cotacao_dolar</f>
        <v>15045.344999999999</v>
      </c>
      <c r="L71" t="s">
        <v>17</v>
      </c>
      <c r="M71" t="s">
        <v>127</v>
      </c>
    </row>
    <row r="72" spans="1:13" x14ac:dyDescent="0.25">
      <c r="A72" t="s">
        <v>128</v>
      </c>
      <c r="B72" s="1">
        <v>46246</v>
      </c>
      <c r="C72" t="s">
        <v>65</v>
      </c>
      <c r="D72" t="s">
        <v>36</v>
      </c>
      <c r="E72" t="s">
        <v>14</v>
      </c>
      <c r="F72" t="s">
        <v>49</v>
      </c>
      <c r="G72" t="s">
        <v>38</v>
      </c>
      <c r="H72">
        <v>12</v>
      </c>
      <c r="I72" s="3">
        <v>74.900000000000006</v>
      </c>
      <c r="J72" s="3">
        <f>vendas[[#This Row],[quantity]]*vendas[[#This Row],[unit_price_us_format]]</f>
        <v>898.80000000000007</v>
      </c>
      <c r="K72" s="3">
        <f>vendas[[#This Row],[total em dólar]]*cotacao_dolar</f>
        <v>4691.7359999999999</v>
      </c>
      <c r="L72" t="s">
        <v>33</v>
      </c>
      <c r="M72" t="s">
        <v>18</v>
      </c>
    </row>
    <row r="73" spans="1:13" x14ac:dyDescent="0.25">
      <c r="A73" t="s">
        <v>129</v>
      </c>
      <c r="B73" s="1">
        <v>46204</v>
      </c>
      <c r="C73" t="s">
        <v>41</v>
      </c>
      <c r="D73" t="s">
        <v>42</v>
      </c>
      <c r="E73" t="s">
        <v>14</v>
      </c>
      <c r="F73" t="s">
        <v>68</v>
      </c>
      <c r="G73" t="s">
        <v>16</v>
      </c>
      <c r="H73">
        <v>4</v>
      </c>
      <c r="I73" s="3">
        <v>18.75</v>
      </c>
      <c r="J73" s="3">
        <f>vendas[[#This Row],[quantity]]*vendas[[#This Row],[unit_price_us_format]]</f>
        <v>75</v>
      </c>
      <c r="K73" s="3">
        <f>vendas[[#This Row],[total em dólar]]*cotacao_dolar</f>
        <v>391.5</v>
      </c>
      <c r="L73" t="s">
        <v>33</v>
      </c>
      <c r="M73" t="s">
        <v>18</v>
      </c>
    </row>
    <row r="74" spans="1:13" x14ac:dyDescent="0.25">
      <c r="A74" t="s">
        <v>130</v>
      </c>
      <c r="B74" s="1">
        <v>46232</v>
      </c>
      <c r="C74" t="s">
        <v>26</v>
      </c>
      <c r="D74" t="s">
        <v>21</v>
      </c>
      <c r="E74" t="s">
        <v>14</v>
      </c>
      <c r="F74" t="s">
        <v>27</v>
      </c>
      <c r="G74" t="s">
        <v>28</v>
      </c>
      <c r="H74">
        <v>8</v>
      </c>
      <c r="I74" s="3">
        <v>38.4</v>
      </c>
      <c r="J74" s="3">
        <f>vendas[[#This Row],[quantity]]*vendas[[#This Row],[unit_price_us_format]]</f>
        <v>307.2</v>
      </c>
      <c r="K74" s="3">
        <f>vendas[[#This Row],[total em dólar]]*cotacao_dolar</f>
        <v>1603.5839999999998</v>
      </c>
      <c r="L74" t="s">
        <v>24</v>
      </c>
      <c r="M74" t="s">
        <v>18</v>
      </c>
    </row>
    <row r="75" spans="1:13" x14ac:dyDescent="0.25">
      <c r="A75" t="s">
        <v>131</v>
      </c>
      <c r="B75" s="1">
        <v>46246</v>
      </c>
      <c r="C75" t="s">
        <v>85</v>
      </c>
      <c r="D75" t="s">
        <v>36</v>
      </c>
      <c r="E75" t="s">
        <v>14</v>
      </c>
      <c r="F75" t="s">
        <v>87</v>
      </c>
      <c r="G75" t="s">
        <v>16</v>
      </c>
      <c r="H75">
        <v>2</v>
      </c>
      <c r="I75" s="3">
        <v>14.3</v>
      </c>
      <c r="J75" s="3">
        <f>vendas[[#This Row],[quantity]]*vendas[[#This Row],[unit_price_us_format]]</f>
        <v>28.6</v>
      </c>
      <c r="K75" s="3">
        <f>vendas[[#This Row],[total em dólar]]*cotacao_dolar</f>
        <v>149.292</v>
      </c>
      <c r="L75" t="s">
        <v>33</v>
      </c>
      <c r="M75" t="s">
        <v>18</v>
      </c>
    </row>
    <row r="76" spans="1:13" x14ac:dyDescent="0.25">
      <c r="A76" t="s">
        <v>132</v>
      </c>
      <c r="B76" s="1">
        <v>46216</v>
      </c>
      <c r="C76" t="s">
        <v>35</v>
      </c>
      <c r="D76" t="s">
        <v>36</v>
      </c>
      <c r="E76" t="s">
        <v>14</v>
      </c>
      <c r="F76" t="s">
        <v>15</v>
      </c>
      <c r="G76" t="s">
        <v>16</v>
      </c>
      <c r="H76">
        <v>1</v>
      </c>
      <c r="I76" s="3">
        <v>32.9</v>
      </c>
      <c r="J76" s="3">
        <f>vendas[[#This Row],[quantity]]*vendas[[#This Row],[unit_price_us_format]]</f>
        <v>32.9</v>
      </c>
      <c r="K76" s="3">
        <f>vendas[[#This Row],[total em dólar]]*cotacao_dolar</f>
        <v>171.73799999999997</v>
      </c>
      <c r="L76" t="s">
        <v>57</v>
      </c>
      <c r="M76" t="s">
        <v>18</v>
      </c>
    </row>
    <row r="77" spans="1:13" x14ac:dyDescent="0.25">
      <c r="A77" t="s">
        <v>133</v>
      </c>
      <c r="B77" s="1">
        <v>46208</v>
      </c>
      <c r="C77" t="s">
        <v>59</v>
      </c>
      <c r="D77" t="s">
        <v>13</v>
      </c>
      <c r="E77" t="s">
        <v>14</v>
      </c>
      <c r="F77" t="s">
        <v>31</v>
      </c>
      <c r="G77" t="s">
        <v>32</v>
      </c>
      <c r="H77">
        <v>11</v>
      </c>
      <c r="I77" s="3">
        <v>44.73</v>
      </c>
      <c r="J77" s="3">
        <f>vendas[[#This Row],[quantity]]*vendas[[#This Row],[unit_price_us_format]]</f>
        <v>492.03</v>
      </c>
      <c r="K77" s="3">
        <f>vendas[[#This Row],[total em dólar]]*cotacao_dolar</f>
        <v>2568.3965999999996</v>
      </c>
      <c r="L77" t="s">
        <v>17</v>
      </c>
      <c r="M77" t="s">
        <v>29</v>
      </c>
    </row>
    <row r="78" spans="1:13" x14ac:dyDescent="0.25">
      <c r="A78" t="s">
        <v>134</v>
      </c>
      <c r="B78" s="1">
        <v>46228</v>
      </c>
      <c r="C78" t="s">
        <v>59</v>
      </c>
      <c r="D78" t="s">
        <v>13</v>
      </c>
      <c r="E78" t="s">
        <v>14</v>
      </c>
      <c r="F78" t="s">
        <v>31</v>
      </c>
      <c r="G78" t="s">
        <v>32</v>
      </c>
      <c r="H78">
        <v>4</v>
      </c>
      <c r="I78" s="3"/>
      <c r="J78" s="3">
        <f>vendas[[#This Row],[quantity]]*vendas[[#This Row],[unit_price_us_format]]</f>
        <v>0</v>
      </c>
      <c r="K78" s="3">
        <f>vendas[[#This Row],[total em dólar]]*cotacao_dolar</f>
        <v>0</v>
      </c>
      <c r="L78" t="s">
        <v>24</v>
      </c>
      <c r="M78" t="s">
        <v>29</v>
      </c>
    </row>
    <row r="79" spans="1:13" x14ac:dyDescent="0.25">
      <c r="A79" t="s">
        <v>135</v>
      </c>
      <c r="B79" s="1">
        <v>46210</v>
      </c>
      <c r="C79" t="s">
        <v>65</v>
      </c>
      <c r="D79" t="s">
        <v>36</v>
      </c>
      <c r="E79" t="s">
        <v>14</v>
      </c>
      <c r="F79" t="s">
        <v>56</v>
      </c>
      <c r="G79" t="s">
        <v>23</v>
      </c>
      <c r="H79">
        <v>3</v>
      </c>
      <c r="I79" s="3">
        <v>198.45</v>
      </c>
      <c r="J79" s="3">
        <f>vendas[[#This Row],[quantity]]*vendas[[#This Row],[unit_price_us_format]]</f>
        <v>595.34999999999991</v>
      </c>
      <c r="K79" s="3">
        <f>vendas[[#This Row],[total em dólar]]*cotacao_dolar</f>
        <v>3107.7269999999994</v>
      </c>
      <c r="L79" t="s">
        <v>57</v>
      </c>
      <c r="M79" t="s">
        <v>18</v>
      </c>
    </row>
    <row r="80" spans="1:13" x14ac:dyDescent="0.25">
      <c r="A80" t="s">
        <v>136</v>
      </c>
      <c r="B80" s="1">
        <v>46219</v>
      </c>
      <c r="C80" t="s">
        <v>12</v>
      </c>
      <c r="D80" t="s">
        <v>13</v>
      </c>
      <c r="E80" t="s">
        <v>14</v>
      </c>
      <c r="F80" t="s">
        <v>51</v>
      </c>
      <c r="G80" t="s">
        <v>32</v>
      </c>
      <c r="H80">
        <v>3</v>
      </c>
      <c r="I80" s="3">
        <v>27.9</v>
      </c>
      <c r="J80" s="3">
        <f>vendas[[#This Row],[quantity]]*vendas[[#This Row],[unit_price_us_format]]</f>
        <v>83.699999999999989</v>
      </c>
      <c r="K80" s="3">
        <f>vendas[[#This Row],[total em dólar]]*cotacao_dolar</f>
        <v>436.91399999999993</v>
      </c>
      <c r="L80" t="s">
        <v>33</v>
      </c>
      <c r="M80" t="s">
        <v>43</v>
      </c>
    </row>
    <row r="81" spans="1:13" x14ac:dyDescent="0.25">
      <c r="A81" t="s">
        <v>137</v>
      </c>
      <c r="B81" s="1">
        <v>46232</v>
      </c>
      <c r="C81" t="s">
        <v>85</v>
      </c>
      <c r="D81" t="s">
        <v>36</v>
      </c>
      <c r="E81" t="s">
        <v>14</v>
      </c>
      <c r="F81" t="s">
        <v>37</v>
      </c>
      <c r="G81" t="s">
        <v>38</v>
      </c>
      <c r="H81">
        <v>9</v>
      </c>
      <c r="I81" s="3">
        <v>549</v>
      </c>
      <c r="J81" s="3">
        <f>vendas[[#This Row],[quantity]]*vendas[[#This Row],[unit_price_us_format]]</f>
        <v>4941</v>
      </c>
      <c r="K81" s="3">
        <f>vendas[[#This Row],[total em dólar]]*cotacao_dolar</f>
        <v>25792.02</v>
      </c>
      <c r="L81" t="s">
        <v>57</v>
      </c>
      <c r="M81" t="s">
        <v>29</v>
      </c>
    </row>
    <row r="82" spans="1:13" x14ac:dyDescent="0.25">
      <c r="A82" t="s">
        <v>138</v>
      </c>
      <c r="B82" s="1">
        <v>46234</v>
      </c>
      <c r="C82" t="s">
        <v>59</v>
      </c>
      <c r="D82" t="s">
        <v>13</v>
      </c>
      <c r="E82" t="s">
        <v>14</v>
      </c>
      <c r="F82" t="s">
        <v>68</v>
      </c>
      <c r="G82" t="s">
        <v>16</v>
      </c>
      <c r="H82">
        <v>4</v>
      </c>
      <c r="I82" s="3">
        <v>18.75</v>
      </c>
      <c r="J82" s="3">
        <f>vendas[[#This Row],[quantity]]*vendas[[#This Row],[unit_price_us_format]]</f>
        <v>75</v>
      </c>
      <c r="K82" s="3">
        <f>vendas[[#This Row],[total em dólar]]*cotacao_dolar</f>
        <v>391.5</v>
      </c>
      <c r="L82" t="s">
        <v>57</v>
      </c>
      <c r="M82" t="s">
        <v>18</v>
      </c>
    </row>
    <row r="83" spans="1:13" x14ac:dyDescent="0.25">
      <c r="A83" t="s">
        <v>139</v>
      </c>
      <c r="B83" s="1">
        <v>46221</v>
      </c>
      <c r="C83" t="s">
        <v>59</v>
      </c>
      <c r="D83" t="s">
        <v>13</v>
      </c>
      <c r="E83" t="s">
        <v>14</v>
      </c>
      <c r="F83" t="s">
        <v>22</v>
      </c>
      <c r="G83" t="s">
        <v>23</v>
      </c>
      <c r="H83">
        <v>12</v>
      </c>
      <c r="I83" s="3">
        <v>59.9</v>
      </c>
      <c r="J83" s="3">
        <f>vendas[[#This Row],[quantity]]*vendas[[#This Row],[unit_price_us_format]]</f>
        <v>718.8</v>
      </c>
      <c r="K83" s="3">
        <f>vendas[[#This Row],[total em dólar]]*cotacao_dolar</f>
        <v>3752.1359999999995</v>
      </c>
      <c r="L83" t="s">
        <v>17</v>
      </c>
      <c r="M83" t="s">
        <v>18</v>
      </c>
    </row>
    <row r="84" spans="1:13" x14ac:dyDescent="0.25">
      <c r="A84" t="s">
        <v>140</v>
      </c>
      <c r="B84" s="1">
        <v>46224</v>
      </c>
      <c r="C84" t="s">
        <v>20</v>
      </c>
      <c r="D84" t="s">
        <v>21</v>
      </c>
      <c r="E84" t="s">
        <v>14</v>
      </c>
      <c r="F84" t="s">
        <v>22</v>
      </c>
      <c r="G84" t="s">
        <v>23</v>
      </c>
      <c r="H84">
        <v>3</v>
      </c>
      <c r="I84" s="3">
        <v>59.9</v>
      </c>
      <c r="J84" s="3">
        <f>vendas[[#This Row],[quantity]]*vendas[[#This Row],[unit_price_us_format]]</f>
        <v>179.7</v>
      </c>
      <c r="K84" s="3">
        <f>vendas[[#This Row],[total em dólar]]*cotacao_dolar</f>
        <v>938.03399999999988</v>
      </c>
      <c r="L84" t="s">
        <v>17</v>
      </c>
      <c r="M84" t="s">
        <v>18</v>
      </c>
    </row>
    <row r="85" spans="1:13" x14ac:dyDescent="0.25">
      <c r="A85" t="s">
        <v>141</v>
      </c>
      <c r="B85" s="1">
        <v>46213</v>
      </c>
      <c r="C85" t="s">
        <v>26</v>
      </c>
      <c r="D85" t="s">
        <v>21</v>
      </c>
      <c r="E85" t="s">
        <v>14</v>
      </c>
      <c r="F85" t="s">
        <v>22</v>
      </c>
      <c r="G85" t="s">
        <v>23</v>
      </c>
      <c r="H85">
        <v>7</v>
      </c>
      <c r="I85" s="3">
        <v>59.9</v>
      </c>
      <c r="J85" s="3">
        <f>vendas[[#This Row],[quantity]]*vendas[[#This Row],[unit_price_us_format]]</f>
        <v>419.3</v>
      </c>
      <c r="K85" s="3">
        <f>vendas[[#This Row],[total em dólar]]*cotacao_dolar</f>
        <v>2188.7460000000001</v>
      </c>
      <c r="L85" t="s">
        <v>33</v>
      </c>
      <c r="M85" t="s">
        <v>18</v>
      </c>
    </row>
    <row r="86" spans="1:13" x14ac:dyDescent="0.25">
      <c r="A86" t="s">
        <v>142</v>
      </c>
      <c r="B86" s="1">
        <v>46230</v>
      </c>
      <c r="C86" t="s">
        <v>143</v>
      </c>
      <c r="D86" t="s">
        <v>36</v>
      </c>
      <c r="E86" t="s">
        <v>14</v>
      </c>
      <c r="F86" t="s">
        <v>56</v>
      </c>
      <c r="G86" t="s">
        <v>23</v>
      </c>
      <c r="H86">
        <v>7</v>
      </c>
      <c r="I86" s="3">
        <v>189</v>
      </c>
      <c r="J86" s="3">
        <f>vendas[[#This Row],[quantity]]*vendas[[#This Row],[unit_price_us_format]]</f>
        <v>1323</v>
      </c>
      <c r="K86" s="3">
        <f>vendas[[#This Row],[total em dólar]]*cotacao_dolar</f>
        <v>6906.0599999999995</v>
      </c>
      <c r="L86" t="s">
        <v>24</v>
      </c>
      <c r="M86" t="s">
        <v>29</v>
      </c>
    </row>
    <row r="87" spans="1:13" x14ac:dyDescent="0.25">
      <c r="A87" t="s">
        <v>144</v>
      </c>
      <c r="B87" s="1">
        <v>46240</v>
      </c>
      <c r="C87" t="s">
        <v>65</v>
      </c>
      <c r="D87" t="s">
        <v>36</v>
      </c>
      <c r="E87" t="s">
        <v>14</v>
      </c>
      <c r="F87" t="s">
        <v>51</v>
      </c>
      <c r="G87" t="s">
        <v>32</v>
      </c>
      <c r="H87">
        <v>1</v>
      </c>
      <c r="I87" s="3">
        <v>27.9</v>
      </c>
      <c r="J87" s="3">
        <f>vendas[[#This Row],[quantity]]*vendas[[#This Row],[unit_price_us_format]]</f>
        <v>27.9</v>
      </c>
      <c r="K87" s="3">
        <f>vendas[[#This Row],[total em dólar]]*cotacao_dolar</f>
        <v>145.63799999999998</v>
      </c>
      <c r="L87" t="s">
        <v>33</v>
      </c>
      <c r="M87" t="s">
        <v>29</v>
      </c>
    </row>
    <row r="88" spans="1:13" x14ac:dyDescent="0.25">
      <c r="A88" t="s">
        <v>145</v>
      </c>
      <c r="B88" s="1">
        <v>46230</v>
      </c>
      <c r="C88" t="s">
        <v>20</v>
      </c>
      <c r="D88" t="s">
        <v>21</v>
      </c>
      <c r="E88" t="s">
        <v>14</v>
      </c>
      <c r="F88" t="s">
        <v>37</v>
      </c>
      <c r="G88" t="s">
        <v>38</v>
      </c>
      <c r="H88">
        <v>12</v>
      </c>
      <c r="I88" s="3">
        <v>576.45000000000005</v>
      </c>
      <c r="J88" s="3">
        <f>vendas[[#This Row],[quantity]]*vendas[[#This Row],[unit_price_us_format]]</f>
        <v>6917.4000000000005</v>
      </c>
      <c r="K88" s="3">
        <f>vendas[[#This Row],[total em dólar]]*cotacao_dolar</f>
        <v>36108.828000000001</v>
      </c>
      <c r="L88" t="s">
        <v>17</v>
      </c>
      <c r="M88" t="s">
        <v>18</v>
      </c>
    </row>
    <row r="89" spans="1:13" x14ac:dyDescent="0.25">
      <c r="A89" t="s">
        <v>146</v>
      </c>
      <c r="B89" s="1">
        <v>46221</v>
      </c>
      <c r="C89" t="s">
        <v>65</v>
      </c>
      <c r="D89" t="s">
        <v>36</v>
      </c>
      <c r="E89" t="s">
        <v>14</v>
      </c>
      <c r="F89" t="s">
        <v>51</v>
      </c>
      <c r="G89" t="s">
        <v>32</v>
      </c>
      <c r="H89">
        <v>1</v>
      </c>
      <c r="I89" s="3">
        <v>27.9</v>
      </c>
      <c r="J89" s="3">
        <f>vendas[[#This Row],[quantity]]*vendas[[#This Row],[unit_price_us_format]]</f>
        <v>27.9</v>
      </c>
      <c r="K89" s="3">
        <f>vendas[[#This Row],[total em dólar]]*cotacao_dolar</f>
        <v>145.63799999999998</v>
      </c>
      <c r="L89" t="s">
        <v>33</v>
      </c>
      <c r="M89" t="s">
        <v>18</v>
      </c>
    </row>
    <row r="90" spans="1:13" x14ac:dyDescent="0.25">
      <c r="A90" t="s">
        <v>147</v>
      </c>
      <c r="B90" s="1">
        <v>46229</v>
      </c>
      <c r="C90" t="s">
        <v>35</v>
      </c>
      <c r="D90" t="s">
        <v>36</v>
      </c>
      <c r="E90" t="s">
        <v>14</v>
      </c>
      <c r="F90" t="s">
        <v>51</v>
      </c>
      <c r="G90" t="s">
        <v>32</v>
      </c>
      <c r="H90">
        <v>3</v>
      </c>
      <c r="I90" s="3">
        <v>29.29</v>
      </c>
      <c r="J90" s="3">
        <f>vendas[[#This Row],[quantity]]*vendas[[#This Row],[unit_price_us_format]]</f>
        <v>87.87</v>
      </c>
      <c r="K90" s="3">
        <f>vendas[[#This Row],[total em dólar]]*cotacao_dolar</f>
        <v>458.6814</v>
      </c>
      <c r="L90" t="s">
        <v>24</v>
      </c>
      <c r="M90" t="s">
        <v>29</v>
      </c>
    </row>
    <row r="91" spans="1:13" x14ac:dyDescent="0.25">
      <c r="A91" t="s">
        <v>148</v>
      </c>
      <c r="B91" s="1">
        <v>46241</v>
      </c>
      <c r="C91" t="s">
        <v>85</v>
      </c>
      <c r="D91" t="s">
        <v>36</v>
      </c>
      <c r="E91" t="s">
        <v>14</v>
      </c>
      <c r="F91" t="s">
        <v>49</v>
      </c>
      <c r="G91" t="s">
        <v>38</v>
      </c>
      <c r="H91">
        <v>1</v>
      </c>
      <c r="I91" s="3">
        <v>71.16</v>
      </c>
      <c r="J91" s="3">
        <f>vendas[[#This Row],[quantity]]*vendas[[#This Row],[unit_price_us_format]]</f>
        <v>71.16</v>
      </c>
      <c r="K91" s="3">
        <f>vendas[[#This Row],[total em dólar]]*cotacao_dolar</f>
        <v>371.45519999999999</v>
      </c>
      <c r="L91" t="s">
        <v>57</v>
      </c>
      <c r="M91" t="s">
        <v>18</v>
      </c>
    </row>
    <row r="92" spans="1:13" x14ac:dyDescent="0.25">
      <c r="A92" t="s">
        <v>149</v>
      </c>
      <c r="B92" s="1">
        <v>46233</v>
      </c>
      <c r="C92" t="s">
        <v>35</v>
      </c>
      <c r="D92" t="s">
        <v>36</v>
      </c>
      <c r="E92" t="s">
        <v>14</v>
      </c>
      <c r="F92" t="s">
        <v>15</v>
      </c>
      <c r="G92" t="s">
        <v>16</v>
      </c>
      <c r="H92">
        <v>5</v>
      </c>
      <c r="I92" s="3">
        <v>32.9</v>
      </c>
      <c r="J92" s="3">
        <f>vendas[[#This Row],[quantity]]*vendas[[#This Row],[unit_price_us_format]]</f>
        <v>164.5</v>
      </c>
      <c r="K92" s="3">
        <f>vendas[[#This Row],[total em dólar]]*cotacao_dolar</f>
        <v>858.68999999999994</v>
      </c>
      <c r="L92" t="s">
        <v>33</v>
      </c>
      <c r="M92" t="s">
        <v>18</v>
      </c>
    </row>
    <row r="93" spans="1:13" x14ac:dyDescent="0.25">
      <c r="A93" t="s">
        <v>150</v>
      </c>
      <c r="B93" s="1">
        <v>46224</v>
      </c>
      <c r="C93" t="s">
        <v>54</v>
      </c>
      <c r="D93" t="s">
        <v>55</v>
      </c>
      <c r="E93" t="s">
        <v>14</v>
      </c>
      <c r="F93" t="s">
        <v>31</v>
      </c>
      <c r="G93" t="s">
        <v>32</v>
      </c>
      <c r="H93">
        <v>5</v>
      </c>
      <c r="I93" s="3">
        <v>42.6</v>
      </c>
      <c r="J93" s="3">
        <f>vendas[[#This Row],[quantity]]*vendas[[#This Row],[unit_price_us_format]]</f>
        <v>213</v>
      </c>
      <c r="K93" s="3">
        <f>vendas[[#This Row],[total em dólar]]*cotacao_dolar</f>
        <v>1111.8599999999999</v>
      </c>
      <c r="L93" t="s">
        <v>33</v>
      </c>
      <c r="M93" t="s">
        <v>29</v>
      </c>
    </row>
    <row r="94" spans="1:13" x14ac:dyDescent="0.25">
      <c r="A94" t="s">
        <v>151</v>
      </c>
      <c r="B94" s="1">
        <v>46234</v>
      </c>
      <c r="C94" t="s">
        <v>71</v>
      </c>
      <c r="D94" t="s">
        <v>36</v>
      </c>
      <c r="E94" t="s">
        <v>14</v>
      </c>
      <c r="F94" t="s">
        <v>37</v>
      </c>
      <c r="G94" t="s">
        <v>38</v>
      </c>
      <c r="H94">
        <v>9</v>
      </c>
      <c r="I94" s="3">
        <v>521.54999999999995</v>
      </c>
      <c r="J94" s="3">
        <f>vendas[[#This Row],[quantity]]*vendas[[#This Row],[unit_price_us_format]]</f>
        <v>4693.95</v>
      </c>
      <c r="K94" s="3">
        <f>vendas[[#This Row],[total em dólar]]*cotacao_dolar</f>
        <v>24502.418999999998</v>
      </c>
      <c r="L94" t="s">
        <v>33</v>
      </c>
      <c r="M94" t="s">
        <v>18</v>
      </c>
    </row>
    <row r="95" spans="1:13" x14ac:dyDescent="0.25">
      <c r="A95" t="s">
        <v>152</v>
      </c>
      <c r="B95" s="1">
        <v>46208</v>
      </c>
      <c r="C95" t="s">
        <v>71</v>
      </c>
      <c r="D95" t="s">
        <v>36</v>
      </c>
      <c r="E95" t="s">
        <v>14</v>
      </c>
      <c r="F95" t="s">
        <v>15</v>
      </c>
      <c r="G95" t="s">
        <v>16</v>
      </c>
      <c r="H95">
        <v>4</v>
      </c>
      <c r="I95" s="3">
        <v>32.9</v>
      </c>
      <c r="J95" s="3">
        <f>vendas[[#This Row],[quantity]]*vendas[[#This Row],[unit_price_us_format]]</f>
        <v>131.6</v>
      </c>
      <c r="K95" s="3">
        <f>vendas[[#This Row],[total em dólar]]*cotacao_dolar</f>
        <v>686.95199999999988</v>
      </c>
      <c r="L95" t="s">
        <v>24</v>
      </c>
      <c r="M95" t="s">
        <v>18</v>
      </c>
    </row>
    <row r="96" spans="1:13" x14ac:dyDescent="0.25">
      <c r="A96" t="s">
        <v>153</v>
      </c>
      <c r="B96" s="1">
        <v>46219</v>
      </c>
      <c r="C96" t="s">
        <v>35</v>
      </c>
      <c r="D96" t="s">
        <v>36</v>
      </c>
      <c r="E96" t="s">
        <v>14</v>
      </c>
      <c r="F96" t="s">
        <v>51</v>
      </c>
      <c r="G96" t="s">
        <v>32</v>
      </c>
      <c r="H96">
        <v>11</v>
      </c>
      <c r="I96" s="3">
        <v>26.5</v>
      </c>
      <c r="J96" s="3">
        <f>vendas[[#This Row],[quantity]]*vendas[[#This Row],[unit_price_us_format]]</f>
        <v>291.5</v>
      </c>
      <c r="K96" s="3">
        <f>vendas[[#This Row],[total em dólar]]*cotacao_dolar</f>
        <v>1521.6299999999999</v>
      </c>
      <c r="L96" t="s">
        <v>17</v>
      </c>
      <c r="M96" t="s">
        <v>18</v>
      </c>
    </row>
    <row r="97" spans="1:13" x14ac:dyDescent="0.25">
      <c r="A97" t="s">
        <v>154</v>
      </c>
      <c r="B97" s="1">
        <v>46220</v>
      </c>
      <c r="C97" t="s">
        <v>54</v>
      </c>
      <c r="D97" t="s">
        <v>55</v>
      </c>
      <c r="E97" t="s">
        <v>14</v>
      </c>
      <c r="F97" t="s">
        <v>61</v>
      </c>
      <c r="G97" t="s">
        <v>23</v>
      </c>
      <c r="H97">
        <v>10</v>
      </c>
      <c r="I97" s="3">
        <v>93.98</v>
      </c>
      <c r="J97" s="3">
        <f>vendas[[#This Row],[quantity]]*vendas[[#This Row],[unit_price_us_format]]</f>
        <v>939.80000000000007</v>
      </c>
      <c r="K97" s="3">
        <f>vendas[[#This Row],[total em dólar]]*cotacao_dolar</f>
        <v>4905.7560000000003</v>
      </c>
      <c r="L97" t="s">
        <v>24</v>
      </c>
      <c r="M97" t="s">
        <v>29</v>
      </c>
    </row>
    <row r="98" spans="1:13" x14ac:dyDescent="0.25">
      <c r="A98" t="s">
        <v>155</v>
      </c>
      <c r="B98" s="1">
        <v>46214</v>
      </c>
      <c r="C98" t="s">
        <v>41</v>
      </c>
      <c r="D98" t="s">
        <v>42</v>
      </c>
      <c r="E98" t="s">
        <v>14</v>
      </c>
      <c r="F98" t="s">
        <v>22</v>
      </c>
      <c r="G98" t="s">
        <v>23</v>
      </c>
      <c r="H98">
        <v>10</v>
      </c>
      <c r="I98" s="3">
        <v>56.9</v>
      </c>
      <c r="J98" s="3">
        <f>vendas[[#This Row],[quantity]]*vendas[[#This Row],[unit_price_us_format]]</f>
        <v>569</v>
      </c>
      <c r="K98" s="3">
        <f>vendas[[#This Row],[total em dólar]]*cotacao_dolar</f>
        <v>2970.18</v>
      </c>
      <c r="L98" t="s">
        <v>33</v>
      </c>
      <c r="M98" t="s">
        <v>18</v>
      </c>
    </row>
    <row r="99" spans="1:13" x14ac:dyDescent="0.25">
      <c r="A99" t="s">
        <v>156</v>
      </c>
      <c r="B99" s="1">
        <v>46228</v>
      </c>
      <c r="C99" t="s">
        <v>65</v>
      </c>
      <c r="D99" t="s">
        <v>36</v>
      </c>
      <c r="E99" t="s">
        <v>14</v>
      </c>
      <c r="F99" t="s">
        <v>37</v>
      </c>
      <c r="G99" t="s">
        <v>38</v>
      </c>
      <c r="H99">
        <v>4</v>
      </c>
      <c r="I99" s="3">
        <v>521.54999999999995</v>
      </c>
      <c r="J99" s="3">
        <f>vendas[[#This Row],[quantity]]*vendas[[#This Row],[unit_price_us_format]]</f>
        <v>2086.1999999999998</v>
      </c>
      <c r="K99" s="3">
        <f>vendas[[#This Row],[total em dólar]]*cotacao_dolar</f>
        <v>10889.963999999998</v>
      </c>
      <c r="L99" t="s">
        <v>17</v>
      </c>
      <c r="M99" t="s">
        <v>18</v>
      </c>
    </row>
    <row r="100" spans="1:13" x14ac:dyDescent="0.25">
      <c r="A100" t="s">
        <v>157</v>
      </c>
      <c r="B100" s="1">
        <v>46223</v>
      </c>
      <c r="C100" t="s">
        <v>85</v>
      </c>
      <c r="D100" t="s">
        <v>36</v>
      </c>
      <c r="E100" t="s">
        <v>14</v>
      </c>
      <c r="F100" t="s">
        <v>22</v>
      </c>
      <c r="G100" t="s">
        <v>23</v>
      </c>
      <c r="H100">
        <v>10</v>
      </c>
      <c r="I100" s="3">
        <v>56.9</v>
      </c>
      <c r="J100" s="3">
        <f>vendas[[#This Row],[quantity]]*vendas[[#This Row],[unit_price_us_format]]</f>
        <v>569</v>
      </c>
      <c r="K100" s="3">
        <f>vendas[[#This Row],[total em dólar]]*cotacao_dolar</f>
        <v>2970.18</v>
      </c>
      <c r="L100" t="s">
        <v>33</v>
      </c>
      <c r="M100" t="s">
        <v>18</v>
      </c>
    </row>
    <row r="101" spans="1:13" x14ac:dyDescent="0.25">
      <c r="A101" t="s">
        <v>158</v>
      </c>
      <c r="B101" s="1">
        <v>46246</v>
      </c>
      <c r="C101" t="s">
        <v>54</v>
      </c>
      <c r="D101" t="s">
        <v>55</v>
      </c>
      <c r="E101" t="s">
        <v>14</v>
      </c>
      <c r="F101" t="s">
        <v>22</v>
      </c>
      <c r="G101" t="s">
        <v>23</v>
      </c>
      <c r="H101">
        <v>9</v>
      </c>
      <c r="I101" s="3">
        <v>59.9</v>
      </c>
      <c r="J101" s="3">
        <f>vendas[[#This Row],[quantity]]*vendas[[#This Row],[unit_price_us_format]]</f>
        <v>539.1</v>
      </c>
      <c r="K101" s="3">
        <f>vendas[[#This Row],[total em dólar]]*cotacao_dolar</f>
        <v>2814.1019999999999</v>
      </c>
      <c r="L101" t="s">
        <v>24</v>
      </c>
      <c r="M101" t="s">
        <v>29</v>
      </c>
    </row>
    <row r="102" spans="1:13" x14ac:dyDescent="0.25">
      <c r="A102" t="s">
        <v>67</v>
      </c>
      <c r="B102" s="1">
        <v>46233</v>
      </c>
      <c r="C102" t="s">
        <v>20</v>
      </c>
      <c r="D102" t="s">
        <v>21</v>
      </c>
      <c r="E102" t="s">
        <v>14</v>
      </c>
      <c r="F102" t="s">
        <v>68</v>
      </c>
      <c r="G102" t="s">
        <v>16</v>
      </c>
      <c r="H102">
        <v>9</v>
      </c>
      <c r="I102" s="3">
        <v>17.809999999999999</v>
      </c>
      <c r="J102" s="3">
        <f>vendas[[#This Row],[quantity]]*vendas[[#This Row],[unit_price_us_format]]</f>
        <v>160.29</v>
      </c>
      <c r="K102" s="3">
        <f>vendas[[#This Row],[total em dólar]]*cotacao_dolar</f>
        <v>836.71379999999988</v>
      </c>
      <c r="L102" t="s">
        <v>24</v>
      </c>
      <c r="M102" t="s">
        <v>18</v>
      </c>
    </row>
    <row r="103" spans="1:13" x14ac:dyDescent="0.25">
      <c r="A103" t="s">
        <v>160</v>
      </c>
      <c r="I103"/>
      <c r="J103" s="3">
        <f>SUBTOTAL(109,vendas[total em dólar])</f>
        <v>88091.919999999969</v>
      </c>
      <c r="K103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18.85546875" customWidth="1"/>
    <col min="2" max="2" width="17.85546875" customWidth="1"/>
  </cols>
  <sheetData>
    <row r="1" spans="1:2" x14ac:dyDescent="0.25">
      <c r="A1" t="s">
        <v>162</v>
      </c>
      <c r="B1" s="4">
        <v>5.22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Configuracao</vt:lpstr>
      <vt:lpstr>cotacao_dolar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Lab3</dc:creator>
  <cp:lastModifiedBy>Lab3</cp:lastModifiedBy>
  <dcterms:created xsi:type="dcterms:W3CDTF">2026-08-17T10:58:44Z</dcterms:created>
  <dcterms:modified xsi:type="dcterms:W3CDTF">2026-08-17T11:40:12Z</dcterms:modified>
</cp:coreProperties>
</file>