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la.aula\Downloads\"/>
    </mc:Choice>
  </mc:AlternateContent>
  <xr:revisionPtr revIDLastSave="0" documentId="13_ncr:1_{5AC93A65-4831-47F1-85D9-F8B3A2300412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Produtos" sheetId="1" r:id="rId1"/>
    <sheet name="Movimentacoes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E5" i="1" s="1"/>
  <c r="D6" i="1"/>
  <c r="E6" i="1" s="1"/>
  <c r="D7" i="1"/>
  <c r="E7" i="1" s="1"/>
  <c r="D8" i="1"/>
  <c r="E8" i="1" s="1"/>
  <c r="D9" i="1"/>
  <c r="E9" i="1" s="1"/>
  <c r="D10" i="1"/>
  <c r="E10" i="1" s="1"/>
</calcChain>
</file>

<file path=xl/sharedStrings.xml><?xml version="1.0" encoding="utf-8"?>
<sst xmlns="http://schemas.openxmlformats.org/spreadsheetml/2006/main" count="37" uniqueCount="25">
  <si>
    <t>Controle de estoque — Produtos</t>
  </si>
  <si>
    <t>Preencha as colunas em amarelo com as fórmulas indicadas no roteiro.</t>
  </si>
  <si>
    <t>Código</t>
  </si>
  <si>
    <t>Produto</t>
  </si>
  <si>
    <t>Estoque mínimo</t>
  </si>
  <si>
    <t>Estoque atual</t>
  </si>
  <si>
    <t>Situação</t>
  </si>
  <si>
    <t>Caderno universitário</t>
  </si>
  <si>
    <t>Caneta azul</t>
  </si>
  <si>
    <t>Lápis preto</t>
  </si>
  <si>
    <t>Borracha branca</t>
  </si>
  <si>
    <t>Marca-texto amarelo</t>
  </si>
  <si>
    <t>Pasta plástica</t>
  </si>
  <si>
    <t>Regra do estoque: entradas aumentam o saldo; saídas diminuem o saldo.</t>
  </si>
  <si>
    <t>Controle de estoque — Movimentações</t>
  </si>
  <si>
    <t>Adicione novas linhas ao final da tabela. O saldo da aba Produtos deve se atualizar pelas fórmulas.</t>
  </si>
  <si>
    <t>Data</t>
  </si>
  <si>
    <t>Tipo</t>
  </si>
  <si>
    <t>Quantidade</t>
  </si>
  <si>
    <t>Observação</t>
  </si>
  <si>
    <t>Entrada</t>
  </si>
  <si>
    <t>Estoque inicial</t>
  </si>
  <si>
    <t>Saída</t>
  </si>
  <si>
    <t>Venda para turma</t>
  </si>
  <si>
    <t>Uso em atividade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</si>
</sst>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1F4E78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color rgb="FF1F1F1F"/>
      <name val="Arial"/>
    </font>
    <font>
      <i/>
      <sz val="10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right" vertical="center"/>
    </xf>
    <xf numFmtId="14" fontId="4" fillId="0" borderId="1" xfId="0" applyNumberFormat="1" applyFont="1" applyFill="1" applyBorder="1" applyAlignment="1">
      <alignment vertical="center"/>
    </xf>
    <xf numFmtId="14" fontId="4" fillId="0" borderId="3" xfId="0" applyNumberFormat="1" applyFont="1" applyFill="1" applyBorder="1" applyAlignment="1">
      <alignment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right" vertical="center"/>
    </xf>
    <xf numFmtId="0" fontId="4" fillId="0" borderId="3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/>
    <xf numFmtId="0" fontId="5" fillId="2" borderId="0" xfId="0" applyNumberFormat="1" applyFont="1" applyFill="1" applyBorder="1"/>
    <xf numFmtId="0" fontId="3" fillId="0" borderId="2" xfId="0" applyNumberFormat="1" applyFont="1" applyFill="1" applyBorder="1" applyAlignment="1">
      <alignment horizontal="center" vertical="center" wrapText="1"/>
    </xf>
    <xf numFmtId="0" fontId="0" fillId="0" borderId="0" xfId="0" applyFill="1"/>
    <xf numFmtId="3" fontId="4" fillId="0" borderId="1" xfId="0" applyNumberFormat="1" applyFont="1" applyFill="1" applyBorder="1" applyAlignment="1">
      <alignment horizontal="right" vertical="center"/>
    </xf>
    <xf numFmtId="3" fontId="4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22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border outline="0">
        <top style="thin">
          <color rgb="FFB7C9D6"/>
        </top>
      </border>
    </dxf>
    <dxf>
      <border outline="0">
        <top style="thin">
          <color rgb="FFFFFFFF"/>
        </top>
        <bottom style="thin">
          <color rgb="FFB7C9D6"/>
        </bottom>
      </border>
    </dxf>
    <dxf>
      <border outline="0">
        <bottom style="thin">
          <color rgb="FFFFFFFF"/>
        </bottom>
      </border>
    </dxf>
    <dxf>
      <border outline="0">
        <top style="thin">
          <color rgb="FFB7C9D6"/>
        </top>
      </border>
    </dxf>
    <dxf>
      <border outline="0">
        <top style="thin">
          <color rgb="FFFFFFFF"/>
        </top>
        <bottom style="thin">
          <color rgb="FFB7C9D6"/>
        </bottom>
      </border>
    </dxf>
    <dxf>
      <border outline="0">
        <bottom style="thin">
          <color rgb="FFFFFF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B871DD-ED8C-4585-A718-8DB19125732F}" name="TBL.Produtos" displayName="TBL.Produtos" ref="A4:E10" totalsRowShown="0" headerRowDxfId="1" dataDxfId="0" headerRowBorderDxfId="21" tableBorderDxfId="20" totalsRowBorderDxfId="19">
  <autoFilter ref="A4:E10" xr:uid="{F1B871DD-ED8C-4585-A718-8DB19125732F}"/>
  <tableColumns count="5">
    <tableColumn id="1" xr3:uid="{86D8F522-357C-4ABE-908C-64FE467894CB}" name="Código" dataDxfId="6"/>
    <tableColumn id="2" xr3:uid="{4B9EBA12-7AC9-4989-85FC-E76C4F78CB3B}" name="Produto" dataDxfId="5"/>
    <tableColumn id="3" xr3:uid="{F7C9C3F4-8FAE-4E67-88C8-A1A21A06F231}" name="Estoque mínimo" dataDxfId="4"/>
    <tableColumn id="4" xr3:uid="{1DB2684E-AC39-4737-BDF9-2AB2DB77AA2F}" name="Estoque atual" dataDxfId="3">
      <calculatedColumnFormula>SUMIFS(TBL.Movimentações[Quantidade],TBL.Movimentações[Código],TBL.Produtos[[#This Row],[Código]],TBL.Movimentações[Tipo],"Entrada")-SUMIFS(TBL.Movimentações[Quantidade],TBL.Movimentações[Código],TBL.Produtos[[#This Row],[Código]],TBL.Movimentações[Tipo],"Saída")</calculatedColumnFormula>
    </tableColumn>
    <tableColumn id="5" xr3:uid="{B4B91DF6-A2BF-4FB7-8E15-A8021232BAF2}" name="Situação" dataDxfId="2">
      <calculatedColumnFormula>IF(TBL.Produtos[[#This Row],[Estoque mínimo]]&gt;TBL.Produtos[[#This Row],[Estoque atual]],"Estoque baixo","Ok")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09AC6E-5D08-4D3C-948C-C8B5E894C336}" name="TBL.Movimentações" displayName="TBL.Movimentações" ref="A4:E12" totalsRowShown="0" headerRowDxfId="8" dataDxfId="7" headerRowBorderDxfId="18" tableBorderDxfId="17" totalsRowBorderDxfId="16">
  <autoFilter ref="A4:E12" xr:uid="{9D09AC6E-5D08-4D3C-948C-C8B5E894C336}"/>
  <tableColumns count="5">
    <tableColumn id="1" xr3:uid="{B6F03ED2-A600-42B7-828C-1DDF78AF3714}" name="Data" dataDxfId="13"/>
    <tableColumn id="2" xr3:uid="{7BD1A399-CC90-47A5-957B-E74E52C26537}" name="Código" dataDxfId="12"/>
    <tableColumn id="3" xr3:uid="{36F0D089-D342-42F8-9577-013F016DD4DE}" name="Tipo" dataDxfId="11"/>
    <tableColumn id="4" xr3:uid="{0F279664-F360-4E4E-96D7-B72D3CB5F414}" name="Quantidade" dataDxfId="10"/>
    <tableColumn id="5" xr3:uid="{36640330-CF53-41DD-9AE3-05B0F25EDBFD}" name="Observação" dataDxfId="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E12"/>
  <sheetViews>
    <sheetView showGridLines="0" tabSelected="1" zoomScale="115" zoomScaleNormal="115" workbookViewId="0">
      <selection activeCell="B5" sqref="B5"/>
    </sheetView>
  </sheetViews>
  <sheetFormatPr defaultRowHeight="14.25"/>
  <cols>
    <col min="1" max="1" width="12" customWidth="1"/>
    <col min="2" max="2" width="28" customWidth="1"/>
    <col min="3" max="5" width="17" customWidth="1"/>
  </cols>
  <sheetData>
    <row r="1" spans="1:5" ht="27" customHeight="1">
      <c r="A1" s="9" t="s">
        <v>0</v>
      </c>
      <c r="B1" s="9"/>
      <c r="C1" s="9"/>
      <c r="D1" s="9"/>
      <c r="E1" s="9"/>
    </row>
    <row r="2" spans="1:5">
      <c r="A2" s="10" t="s">
        <v>1</v>
      </c>
      <c r="B2" s="10"/>
      <c r="C2" s="10"/>
      <c r="D2" s="10"/>
      <c r="E2" s="10"/>
    </row>
    <row r="4" spans="1:5" s="13" customFormat="1" ht="27.95" customHeight="1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</row>
    <row r="5" spans="1:5" s="13" customFormat="1">
      <c r="A5" s="2">
        <v>101</v>
      </c>
      <c r="B5" s="1" t="s">
        <v>7</v>
      </c>
      <c r="C5" s="3">
        <v>12</v>
      </c>
      <c r="D5" s="14">
        <f>SUMIFS(TBL.Movimentações[Quantidade],TBL.Movimentações[Código],TBL.Produtos[[#This Row],[Código]],TBL.Movimentações[Tipo],"Entrada")-SUMIFS(TBL.Movimentações[Quantidade],TBL.Movimentações[Código],TBL.Produtos[[#This Row],[Código]],TBL.Movimentações[Tipo],"Saída")</f>
        <v>30</v>
      </c>
      <c r="E5" s="1" t="str">
        <f>IF(TBL.Produtos[[#This Row],[Estoque mínimo]]&gt;TBL.Produtos[[#This Row],[Estoque atual]],"Estoque baixo","Ok")</f>
        <v>Ok</v>
      </c>
    </row>
    <row r="6" spans="1:5" s="13" customFormat="1">
      <c r="A6" s="2">
        <v>102</v>
      </c>
      <c r="B6" s="1" t="s">
        <v>8</v>
      </c>
      <c r="C6" s="3">
        <v>20</v>
      </c>
      <c r="D6" s="14">
        <f>SUMIFS(TBL.Movimentações[Quantidade],TBL.Movimentações[Código],TBL.Produtos[[#This Row],[Código]],TBL.Movimentações[Tipo],"Entrada")-SUMIFS(TBL.Movimentações[Quantidade],TBL.Movimentações[Código],TBL.Produtos[[#This Row],[Código]],TBL.Movimentações[Tipo],"Saída")</f>
        <v>17</v>
      </c>
      <c r="E6" s="1" t="str">
        <f>IF(TBL.Produtos[[#This Row],[Estoque mínimo]]&gt;TBL.Produtos[[#This Row],[Estoque atual]],"Estoque baixo","Ok")</f>
        <v>Estoque baixo</v>
      </c>
    </row>
    <row r="7" spans="1:5" s="13" customFormat="1">
      <c r="A7" s="2">
        <v>103</v>
      </c>
      <c r="B7" s="1" t="s">
        <v>9</v>
      </c>
      <c r="C7" s="3">
        <v>15</v>
      </c>
      <c r="D7" s="14">
        <f>SUMIFS(TBL.Movimentações[Quantidade],TBL.Movimentações[Código],TBL.Produtos[[#This Row],[Código]],TBL.Movimentações[Tipo],"Entrada")-SUMIFS(TBL.Movimentações[Quantidade],TBL.Movimentações[Código],TBL.Produtos[[#This Row],[Código]],TBL.Movimentações[Tipo],"Saída")</f>
        <v>25</v>
      </c>
      <c r="E7" s="1" t="str">
        <f>IF(TBL.Produtos[[#This Row],[Estoque mínimo]]&gt;TBL.Produtos[[#This Row],[Estoque atual]],"Estoque baixo","Ok")</f>
        <v>Ok</v>
      </c>
    </row>
    <row r="8" spans="1:5" s="13" customFormat="1">
      <c r="A8" s="2">
        <v>104</v>
      </c>
      <c r="B8" s="1" t="s">
        <v>10</v>
      </c>
      <c r="C8" s="3">
        <v>10</v>
      </c>
      <c r="D8" s="14">
        <f>SUMIFS(TBL.Movimentações[Quantidade],TBL.Movimentações[Código],TBL.Produtos[[#This Row],[Código]],TBL.Movimentações[Tipo],"Entrada")-SUMIFS(TBL.Movimentações[Quantidade],TBL.Movimentações[Código],TBL.Produtos[[#This Row],[Código]],TBL.Movimentações[Tipo],"Saída")</f>
        <v>18</v>
      </c>
      <c r="E8" s="1" t="str">
        <f>IF(TBL.Produtos[[#This Row],[Estoque mínimo]]&gt;TBL.Produtos[[#This Row],[Estoque atual]],"Estoque baixo","Ok")</f>
        <v>Ok</v>
      </c>
    </row>
    <row r="9" spans="1:5" s="13" customFormat="1">
      <c r="A9" s="2">
        <v>105</v>
      </c>
      <c r="B9" s="1" t="s">
        <v>11</v>
      </c>
      <c r="C9" s="3">
        <v>8</v>
      </c>
      <c r="D9" s="14">
        <f>SUMIFS(TBL.Movimentações[Quantidade],TBL.Movimentações[Código],TBL.Produtos[[#This Row],[Código]],TBL.Movimentações[Tipo],"Entrada")-SUMIFS(TBL.Movimentações[Quantidade],TBL.Movimentações[Código],TBL.Produtos[[#This Row],[Código]],TBL.Movimentações[Tipo],"Saída")</f>
        <v>6</v>
      </c>
      <c r="E9" s="1" t="str">
        <f>IF(TBL.Produtos[[#This Row],[Estoque mínimo]]&gt;TBL.Produtos[[#This Row],[Estoque atual]],"Estoque baixo","Ok")</f>
        <v>Estoque baixo</v>
      </c>
    </row>
    <row r="10" spans="1:5" s="13" customFormat="1">
      <c r="A10" s="6">
        <v>106</v>
      </c>
      <c r="B10" s="8" t="s">
        <v>12</v>
      </c>
      <c r="C10" s="7">
        <v>10</v>
      </c>
      <c r="D10" s="15">
        <f>SUMIFS(TBL.Movimentações[Quantidade],TBL.Movimentações[Código],TBL.Produtos[[#This Row],[Código]],TBL.Movimentações[Tipo],"Entrada")-SUMIFS(TBL.Movimentações[Quantidade],TBL.Movimentações[Código],TBL.Produtos[[#This Row],[Código]],TBL.Movimentações[Tipo],"Saída")</f>
        <v>16</v>
      </c>
      <c r="E10" s="8" t="str">
        <f>IF(TBL.Produtos[[#This Row],[Estoque mínimo]]&gt;TBL.Produtos[[#This Row],[Estoque atual]],"Estoque baixo","Ok")</f>
        <v>Ok</v>
      </c>
    </row>
    <row r="12" spans="1:5">
      <c r="A12" s="11" t="s">
        <v>13</v>
      </c>
      <c r="B12" s="11"/>
      <c r="C12" s="11"/>
      <c r="D12" s="11"/>
      <c r="E12" s="11"/>
    </row>
  </sheetData>
  <mergeCells count="3">
    <mergeCell ref="A1:E1"/>
    <mergeCell ref="A2:E2"/>
    <mergeCell ref="A12:E12"/>
  </mergeCells>
  <conditionalFormatting sqref="E5:E10">
    <cfRule type="containsText" dxfId="15" priority="1" operator="containsText" text="Abaixo do mínimo"/>
    <cfRule type="containsText" dxfId="14" priority="2" operator="containsText" text="Estoque adequado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E12"/>
  <sheetViews>
    <sheetView showGridLines="0" zoomScale="130" zoomScaleNormal="130" workbookViewId="0">
      <pane ySplit="4" topLeftCell="A5" activePane="bottomLeft" state="frozen"/>
      <selection pane="bottomLeft" activeCell="D5" sqref="D5"/>
    </sheetView>
  </sheetViews>
  <sheetFormatPr defaultRowHeight="14.25"/>
  <cols>
    <col min="1" max="1" width="14" customWidth="1"/>
    <col min="2" max="2" width="12" customWidth="1"/>
    <col min="3" max="4" width="14" customWidth="1"/>
    <col min="5" max="5" width="28" customWidth="1"/>
  </cols>
  <sheetData>
    <row r="1" spans="1:5" ht="27" customHeight="1">
      <c r="A1" s="9" t="s">
        <v>14</v>
      </c>
      <c r="B1" s="9"/>
      <c r="C1" s="9"/>
      <c r="D1" s="9"/>
      <c r="E1" s="9"/>
    </row>
    <row r="2" spans="1:5">
      <c r="A2" s="10" t="s">
        <v>15</v>
      </c>
      <c r="B2" s="10"/>
      <c r="C2" s="10"/>
      <c r="D2" s="10"/>
      <c r="E2" s="10"/>
    </row>
    <row r="4" spans="1:5" s="13" customFormat="1" ht="27.95" customHeight="1">
      <c r="A4" s="12" t="s">
        <v>16</v>
      </c>
      <c r="B4" s="12" t="s">
        <v>2</v>
      </c>
      <c r="C4" s="12" t="s">
        <v>17</v>
      </c>
      <c r="D4" s="12" t="s">
        <v>18</v>
      </c>
      <c r="E4" s="12" t="s">
        <v>19</v>
      </c>
    </row>
    <row r="5" spans="1:5" s="13" customFormat="1">
      <c r="A5" s="4">
        <v>46314</v>
      </c>
      <c r="B5" s="2">
        <v>101</v>
      </c>
      <c r="C5" s="2" t="s">
        <v>20</v>
      </c>
      <c r="D5" s="3">
        <v>30</v>
      </c>
      <c r="E5" s="1" t="s">
        <v>21</v>
      </c>
    </row>
    <row r="6" spans="1:5" s="13" customFormat="1">
      <c r="A6" s="4">
        <v>46314</v>
      </c>
      <c r="B6" s="2">
        <v>102</v>
      </c>
      <c r="C6" s="2" t="s">
        <v>20</v>
      </c>
      <c r="D6" s="3">
        <v>40</v>
      </c>
      <c r="E6" s="1" t="s">
        <v>21</v>
      </c>
    </row>
    <row r="7" spans="1:5" s="13" customFormat="1">
      <c r="A7" s="4">
        <v>46314</v>
      </c>
      <c r="B7" s="2">
        <v>103</v>
      </c>
      <c r="C7" s="2" t="s">
        <v>20</v>
      </c>
      <c r="D7" s="3">
        <v>25</v>
      </c>
      <c r="E7" s="1" t="s">
        <v>21</v>
      </c>
    </row>
    <row r="8" spans="1:5" s="13" customFormat="1">
      <c r="A8" s="4">
        <v>46314</v>
      </c>
      <c r="B8" s="2">
        <v>104</v>
      </c>
      <c r="C8" s="2" t="s">
        <v>20</v>
      </c>
      <c r="D8" s="3">
        <v>18</v>
      </c>
      <c r="E8" s="1" t="s">
        <v>21</v>
      </c>
    </row>
    <row r="9" spans="1:5" s="13" customFormat="1">
      <c r="A9" s="4">
        <v>46314</v>
      </c>
      <c r="B9" s="2">
        <v>105</v>
      </c>
      <c r="C9" s="2" t="s">
        <v>20</v>
      </c>
      <c r="D9" s="3">
        <v>12</v>
      </c>
      <c r="E9" s="1" t="s">
        <v>21</v>
      </c>
    </row>
    <row r="10" spans="1:5" s="13" customFormat="1">
      <c r="A10" s="4">
        <v>46314</v>
      </c>
      <c r="B10" s="2">
        <v>106</v>
      </c>
      <c r="C10" s="2" t="s">
        <v>20</v>
      </c>
      <c r="D10" s="3">
        <v>16</v>
      </c>
      <c r="E10" s="1" t="s">
        <v>21</v>
      </c>
    </row>
    <row r="11" spans="1:5" s="13" customFormat="1">
      <c r="A11" s="4">
        <v>46314</v>
      </c>
      <c r="B11" s="2">
        <v>102</v>
      </c>
      <c r="C11" s="2" t="s">
        <v>22</v>
      </c>
      <c r="D11" s="3">
        <v>23</v>
      </c>
      <c r="E11" s="1" t="s">
        <v>23</v>
      </c>
    </row>
    <row r="12" spans="1:5" s="13" customFormat="1">
      <c r="A12" s="5">
        <v>46314</v>
      </c>
      <c r="B12" s="6">
        <v>105</v>
      </c>
      <c r="C12" s="6" t="s">
        <v>22</v>
      </c>
      <c r="D12" s="7">
        <v>6</v>
      </c>
      <c r="E12" s="8" t="s">
        <v>24</v>
      </c>
    </row>
  </sheetData>
  <mergeCells count="2">
    <mergeCell ref="A1:E1"/>
    <mergeCell ref="A2:E2"/>
  </mergeCells>
  <dataValidations count="1">
    <dataValidation type="list" sqref="C5:C12" xr:uid="{00000000-0002-0000-0100-000000000000}">
      <formula1>"Entrada,Saída"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Movimentacoes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Lab3</dc:creator>
  <cp:lastModifiedBy>Sala Aula</cp:lastModifiedBy>
  <dcterms:created xsi:type="dcterms:W3CDTF">2026-10-19T11:43:29Z</dcterms:created>
  <dcterms:modified xsi:type="dcterms:W3CDTF">2026-10-26T11:07:22Z</dcterms:modified>
</cp:coreProperties>
</file>